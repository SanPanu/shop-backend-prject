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ummary" sheetId="1" state="visible" r:id="rId3"/>
    <sheet name="Test cases" sheetId="2" state="visible" r:id="rId4"/>
    <sheet name="Defects" sheetId="3" state="visible" r:id="rId5"/>
  </sheets>
  <definedNames>
    <definedName function="false" hidden="true" localSheetId="2" name="_xlnm._FilterDatabase" vbProcedure="false">Defects!$A$1:$H$16</definedName>
    <definedName function="false" hidden="true" localSheetId="1" name="_xlnm._FilterDatabase" vbProcedure="false">'Test cases'!$A$1:$J$129</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<sst xmlns="http://schemas.openxmlformats.org/spreadsheetml/2006/main" count="1462" uniqueCount="753">
  <si>
    <t xml:space="preserve">Practice Shop test run (after fixes)</t>
  </si>
  <si>
    <t xml:space="preserve">Re-run on 10 Oct 2026 after fixing 15 defects: 11 from the first run (83 of 94 passed then) and 4 more found during the fix round. Includes the three-step checkout cases and one for simultaneous cancels. The same cases also pass against the WebSphere (Java) build on a test server. API cases: in-process client. UI cases: Chromium via Playwright, 1366 px wide.</t>
  </si>
  <si>
    <t xml:space="preserve">Counts below are formulas over the 'Test cases' sheet, so they update if you change a Status.</t>
  </si>
  <si>
    <t xml:space="preserve">Area</t>
  </si>
  <si>
    <t xml:space="preserve">Total</t>
  </si>
  <si>
    <t xml:space="preserve">Pass</t>
  </si>
  <si>
    <t xml:space="preserve">Fail</t>
  </si>
  <si>
    <t xml:space="preserve">Skipped / Blocked</t>
  </si>
  <si>
    <t xml:space="preserve">Pass rate</t>
  </si>
  <si>
    <t xml:space="preserve">Authentication</t>
  </si>
  <si>
    <t xml:space="preserve">Cart</t>
  </si>
  <si>
    <t xml:space="preserve">Checkout</t>
  </si>
  <si>
    <t xml:space="preserve">Coupons</t>
  </si>
  <si>
    <t xml:space="preserve">Orders</t>
  </si>
  <si>
    <t xml:space="preserve">Products</t>
  </si>
  <si>
    <t xml:space="preserve">Security</t>
  </si>
  <si>
    <t xml:space="preserve">System</t>
  </si>
  <si>
    <t xml:space="preserve">User interface</t>
  </si>
  <si>
    <t xml:space="preserve">All</t>
  </si>
  <si>
    <t xml:space="preserve">Priority</t>
  </si>
  <si>
    <t xml:space="preserve">P1</t>
  </si>
  <si>
    <t xml:space="preserve">P2</t>
  </si>
  <si>
    <t xml:space="preserve">P3</t>
  </si>
  <si>
    <t xml:space="preserve">Type</t>
  </si>
  <si>
    <t xml:space="preserve">API</t>
  </si>
  <si>
    <t xml:space="preserve">UI</t>
  </si>
  <si>
    <t xml:space="preserve">Not covered in this run</t>
  </si>
  <si>
    <t xml:space="preserve">• The chat assistant (switched off at your request). Its own unit tests exist in tests/test_agent.py but are not in this sheet.</t>
  </si>
  <si>
    <t xml:space="preserve">• MySQL. Everything ran on SQLite; behaviour under MySQL is untested.</t>
  </si>
  <si>
    <t xml:space="preserve">• Browsers other than Chromium, and real phones (phone layout was checked at 375 px width only).</t>
  </si>
  <si>
    <t xml:space="preserve">• Performance, load, and accessibility (screen reader, keyboard-only, colour contrast).</t>
  </si>
  <si>
    <t xml:space="preserve">• The exact ₹1,500 boundary of coupon FLAT200: no combination of seed prices adds up to it.</t>
  </si>
  <si>
    <t xml:space="preserve">ID</t>
  </si>
  <si>
    <t xml:space="preserve">Title</t>
  </si>
  <si>
    <t xml:space="preserve">Steps</t>
  </si>
  <si>
    <t xml:space="preserve">Expected result</t>
  </si>
  <si>
    <t xml:space="preserve">Status</t>
  </si>
  <si>
    <t xml:space="preserve">Actual result</t>
  </si>
  <si>
    <t xml:space="preserve">Automated by</t>
  </si>
  <si>
    <t xml:space="preserve">TC-AUTH-001</t>
  </si>
  <si>
    <t xml:space="preserve">Login with valid credentials</t>
  </si>
  <si>
    <t xml:space="preserve">POST /auth/login with alice@example.com / Password123</t>
  </si>
  <si>
    <t xml:space="preserve">200. Response has a token and the user's id, email and name, and no password data</t>
  </si>
  <si>
    <t xml:space="preserve">As expected</t>
  </si>
  <si>
    <t xml:space="preserve">test_cases_api.py::test_auth_001</t>
  </si>
  <si>
    <t xml:space="preserve">TC-AUTH-002</t>
  </si>
  <si>
    <t xml:space="preserve">Login failure does not reveal whether the email exists</t>
  </si>
  <si>
    <t xml:space="preserve">1. Login with a wrong password for a real user
2. Login with an email that is not registered</t>
  </si>
  <si>
    <t xml:space="preserve">Both return 401 with the same message</t>
  </si>
  <si>
    <t xml:space="preserve">test_cases_api.py::test_auth_002</t>
  </si>
  <si>
    <t xml:space="preserve">TC-AUTH-003</t>
  </si>
  <si>
    <t xml:space="preserve">Email is not case-sensitive at login</t>
  </si>
  <si>
    <t xml:space="preserve">Login as ALICE@EXAMPLE.COM</t>
  </si>
  <si>
    <t xml:space="preserve">200</t>
  </si>
  <si>
    <t xml:space="preserve">test_cases_api.py::test_auth_003</t>
  </si>
  <si>
    <t xml:space="preserve">TC-AUTH-004</t>
  </si>
  <si>
    <t xml:space="preserve">Register a new user</t>
  </si>
  <si>
    <t xml:space="preserve">1. POST /auth/register with a new email
2. Call GET /me with the returned token
3. Log in with the new credentials</t>
  </si>
  <si>
    <t xml:space="preserve">201 with a token; /me returns the new user; login works</t>
  </si>
  <si>
    <t xml:space="preserve">test_cases_api.py::test_auth_004</t>
  </si>
  <si>
    <t xml:space="preserve">TC-AUTH-005</t>
  </si>
  <si>
    <t xml:space="preserve">Duplicate email is rejected, ignoring letter case</t>
  </si>
  <si>
    <t xml:space="preserve">Register with Alice@Example.com (already registered as alice@example.com)</t>
  </si>
  <si>
    <t xml:space="preserve">409 Email already registered</t>
  </si>
  <si>
    <t xml:space="preserve">test_cases_api.py::test_auth_005</t>
  </si>
  <si>
    <t xml:space="preserve">TC-AUTH-006</t>
  </si>
  <si>
    <t xml:space="preserve">Invalid email formats are rejected</t>
  </si>
  <si>
    <t xml:space="preserve">Register with: 'plain', 'a@b', '@b.com', 'a b@c.com', '' </t>
  </si>
  <si>
    <t xml:space="preserve">422 for each</t>
  </si>
  <si>
    <t xml:space="preserve">test_cases_api.py::test_auth_006</t>
  </si>
  <si>
    <t xml:space="preserve">TC-AUTH-007</t>
  </si>
  <si>
    <t xml:space="preserve">Password length boundary</t>
  </si>
  <si>
    <t xml:space="preserve">1. Register with a 7-character password
2. Register with an 8-character password</t>
  </si>
  <si>
    <t xml:space="preserve">7 characters: 422. 8 characters: 201</t>
  </si>
  <si>
    <t xml:space="preserve">test_cases_api.py::test_auth_007</t>
  </si>
  <si>
    <t xml:space="preserve">TC-AUTH-008</t>
  </si>
  <si>
    <t xml:space="preserve">Name cannot be blank</t>
  </si>
  <si>
    <t xml:space="preserve">Register with a name made only of spaces</t>
  </si>
  <si>
    <t xml:space="preserve">422, no account created</t>
  </si>
  <si>
    <t xml:space="preserve">test_cases_api.py::test_auth_008</t>
  </si>
  <si>
    <t xml:space="preserve">TC-AUTH-009</t>
  </si>
  <si>
    <t xml:space="preserve">Protected endpoints reject missing, malformed and unknown tokens</t>
  </si>
  <si>
    <t xml:space="preserve">Call GET /me, GET /cart, GET /orders and POST /checkout with: no header, 'Token abc', 'Bearer' and 'Bearer not-a-token'</t>
  </si>
  <si>
    <t xml:space="preserve">401 every time</t>
  </si>
  <si>
    <t xml:space="preserve">test_cases_api.py::test_auth_009</t>
  </si>
  <si>
    <t xml:space="preserve">TC-AUTH-010</t>
  </si>
  <si>
    <t xml:space="preserve">Name length boundary</t>
  </si>
  <si>
    <t xml:space="preserve">1. Register with a 101-character name
2. Register with a 100-character name</t>
  </si>
  <si>
    <t xml:space="preserve">101: 422. 100: 201</t>
  </si>
  <si>
    <t xml:space="preserve">test_cases_api.py::test_auth_010</t>
  </si>
  <si>
    <t xml:space="preserve">TC-AUTH-011</t>
  </si>
  <si>
    <t xml:space="preserve">Logging out ends the session on the server</t>
  </si>
  <si>
    <t xml:space="preserve">1. Log in
2. POST /auth/logout with the token
3. Call GET /me with the same token</t>
  </si>
  <si>
    <t xml:space="preserve">Logout succeeds and the old token is then rejected with 401</t>
  </si>
  <si>
    <t xml:space="preserve">test_cases_api.py::test_auth_011</t>
  </si>
  <si>
    <t xml:space="preserve">TC-AUTH-012</t>
  </si>
  <si>
    <t xml:space="preserve">Password made only of spaces is rejected</t>
  </si>
  <si>
    <t xml:space="preserve">Register with a password of 8 spaces</t>
  </si>
  <si>
    <t xml:space="preserve">422</t>
  </si>
  <si>
    <t xml:space="preserve">test_cases_api.py::test_auth_012</t>
  </si>
  <si>
    <t xml:space="preserve">TC-AUTH-013</t>
  </si>
  <si>
    <t xml:space="preserve">Malformed email domains are rejected</t>
  </si>
  <si>
    <t xml:space="preserve">Register with a@b..c, a@.com, a@b.c. and a@b_c.com</t>
  </si>
  <si>
    <t xml:space="preserve">test_cases_api.py::test_auth_013</t>
  </si>
  <si>
    <t xml:space="preserve">TC-CART-001</t>
  </si>
  <si>
    <t xml:space="preserve">Add a product to the cart</t>
  </si>
  <si>
    <t xml:space="preserve">Log in, POST /cart/items {product_id: 5, quantity: 2}, GET /cart</t>
  </si>
  <si>
    <t xml:space="preserve">Cart has one line: Cotton T-Shirt, unit price 499, quantity 2, line total 998; subtotal 998</t>
  </si>
  <si>
    <t xml:space="preserve">test_cases_api.py::test_cart_001</t>
  </si>
  <si>
    <t xml:space="preserve">TC-CART-002</t>
  </si>
  <si>
    <t xml:space="preserve">Adding the same product again increases its quantity</t>
  </si>
  <si>
    <t xml:space="preserve">Add product 5 x2, then product 5 x3</t>
  </si>
  <si>
    <t xml:space="preserve">One line with quantity 5, subtotal 2495</t>
  </si>
  <si>
    <t xml:space="preserve">test_cases_api.py::test_cart_002</t>
  </si>
  <si>
    <t xml:space="preserve">TC-CART-003</t>
  </si>
  <si>
    <t xml:space="preserve">Out-of-stock product cannot be added</t>
  </si>
  <si>
    <t xml:space="preserve">Add product 8 (stock 0)</t>
  </si>
  <si>
    <t xml:space="preserve">409, cart stays empty</t>
  </si>
  <si>
    <t xml:space="preserve">test_cases_api.py::test_cart_003</t>
  </si>
  <si>
    <t xml:space="preserve">TC-CART-004</t>
  </si>
  <si>
    <t xml:space="preserve">Cart quantity cannot exceed stock, counting what is already in the cart</t>
  </si>
  <si>
    <t xml:space="preserve">Product 10 has 2 units. 1. Add 3
2. Add 2
3. Add 1 more</t>
  </si>
  <si>
    <t xml:space="preserve">Step 1: 409. Step 2: 200. Step 3: 409 and quantity stays 2</t>
  </si>
  <si>
    <t xml:space="preserve">test_cases_api.py::test_cart_004</t>
  </si>
  <si>
    <t xml:space="preserve">TC-CART-005</t>
  </si>
  <si>
    <t xml:space="preserve">Invalid quantities are rejected</t>
  </si>
  <si>
    <t xml:space="preserve">Add product 5 with quantity 0, -1, 1.5, 'abc' and null</t>
  </si>
  <si>
    <t xml:space="preserve">422 for each; cart stays empty</t>
  </si>
  <si>
    <t xml:space="preserve">test_cases_api.py::test_cart_005</t>
  </si>
  <si>
    <t xml:space="preserve">TC-CART-006</t>
  </si>
  <si>
    <t xml:space="preserve">Change the quantity of a cart line</t>
  </si>
  <si>
    <t xml:space="preserve">With product 10 x1 in the cart: 1. PUT quantity 2
2. PUT quantity 3
3. PUT quantity 0
4. PUT quantity for product 1 (not in cart)</t>
  </si>
  <si>
    <t xml:space="preserve">1: subtotal 1298. 2: 409. 3: 422. 4: 404. Quantity stays 2</t>
  </si>
  <si>
    <t xml:space="preserve">test_cases_api.py::test_cart_006</t>
  </si>
  <si>
    <t xml:space="preserve">TC-CART-007</t>
  </si>
  <si>
    <t xml:space="preserve">Remove lines and clear the cart</t>
  </si>
  <si>
    <t xml:space="preserve">With products 5 and 9 in the cart: 1. DELETE product 5
2. DELETE product 5 again
3. DELETE /cart</t>
  </si>
  <si>
    <t xml:space="preserve">1: only product 9 left. 2: 404. 3: empty cart, subtotal 0</t>
  </si>
  <si>
    <t xml:space="preserve">test_cases_api.py::test_cart_007</t>
  </si>
  <si>
    <t xml:space="preserve">TC-CART-008</t>
  </si>
  <si>
    <t xml:space="preserve">Each user has a separate cart</t>
  </si>
  <si>
    <t xml:space="preserve">Alice adds product 5. Bob views his cart, then tries to remove product 5</t>
  </si>
  <si>
    <t xml:space="preserve">Bob's cart is empty and his delete returns 404; Alice's cart is unchanged</t>
  </si>
  <si>
    <t xml:space="preserve">test_cases_api.py::test_cart_008</t>
  </si>
  <si>
    <t xml:space="preserve">TC-CART-009</t>
  </si>
  <si>
    <t xml:space="preserve">Unknown product cannot be added</t>
  </si>
  <si>
    <t xml:space="preserve">Add product 999, and product 'abc'</t>
  </si>
  <si>
    <t xml:space="preserve">999: 404. abc: 422</t>
  </si>
  <si>
    <t xml:space="preserve">test_cases_api.py::test_cart_009</t>
  </si>
  <si>
    <t xml:space="preserve">TC-CART-010</t>
  </si>
  <si>
    <t xml:space="preserve">Cart is kept between logins</t>
  </si>
  <si>
    <t xml:space="preserve">Alice adds product 5, then logs in again and views the cart with the new token</t>
  </si>
  <si>
    <t xml:space="preserve">The cart still has product 5</t>
  </si>
  <si>
    <t xml:space="preserve">test_cases_api.py::test_cart_010</t>
  </si>
  <si>
    <t xml:space="preserve">TC-CART-011</t>
  </si>
  <si>
    <t xml:space="preserve">Cart requests with a missing or empty body are rejected cleanly</t>
  </si>
  <si>
    <t xml:space="preserve">With product 5 in the cart: PUT /cart/items/5 with no body and with {}; POST /cart/items with no body</t>
  </si>
  <si>
    <t xml:space="preserve">422 each time; quantity unchanged</t>
  </si>
  <si>
    <t xml:space="preserve">test_cases_api.py::test_cart_011</t>
  </si>
  <si>
    <t xml:space="preserve">TC-CHK-001</t>
  </si>
  <si>
    <t xml:space="preserve">Successful checkout</t>
  </si>
  <si>
    <t xml:space="preserve">Cart: product 1 x2. POST /checkout with a valid card</t>
  </si>
  <si>
    <t xml:space="preserve">201. Order is paid with subtotal 5598, discount 0, total 5598. Stock of product 1 drops from 12 to 10. Cart is empty</t>
  </si>
  <si>
    <t xml:space="preserve">test_cases_api.py::test_chk_001</t>
  </si>
  <si>
    <t xml:space="preserve">TC-CHK-002</t>
  </si>
  <si>
    <t xml:space="preserve">Checkout with a coupon</t>
  </si>
  <si>
    <t xml:space="preserve">Cart: product 12. Checkout with coupon 'welcome10'</t>
  </si>
  <si>
    <t xml:space="preserve">Order has discount 4299, total 38691 and coupon_code WELCOME10</t>
  </si>
  <si>
    <t xml:space="preserve">test_cases_api.py::test_chk_002</t>
  </si>
  <si>
    <t xml:space="preserve">TC-CHK-003</t>
  </si>
  <si>
    <t xml:space="preserve">Checkout with an empty cart</t>
  </si>
  <si>
    <t xml:space="preserve">POST /checkout with nothing in the cart</t>
  </si>
  <si>
    <t xml:space="preserve">400 Cart is empty; no order is created</t>
  </si>
  <si>
    <t xml:space="preserve">test_cases_api.py::test_chk_003</t>
  </si>
  <si>
    <t xml:space="preserve">TC-CHK-004</t>
  </si>
  <si>
    <t xml:space="preserve">Declined card changes nothing</t>
  </si>
  <si>
    <t xml:space="preserve">Cart: product 7. Checkout with card 4000000000000002</t>
  </si>
  <si>
    <t xml:space="preserve">402 Payment declined. No order, stock still 15, cart still has the item</t>
  </si>
  <si>
    <t xml:space="preserve">test_cases_api.py::test_chk_004</t>
  </si>
  <si>
    <t xml:space="preserve">TC-CHK-005</t>
  </si>
  <si>
    <t xml:space="preserve">Card number format is validated</t>
  </si>
  <si>
    <t xml:space="preserve">Checkout with: 15 digits, 17 digits, letters, empty, digits with spaces, and no card field</t>
  </si>
  <si>
    <t xml:space="preserve">422 for each; no order is created</t>
  </si>
  <si>
    <t xml:space="preserve">test_cases_api.py::test_chk_005</t>
  </si>
  <si>
    <t xml:space="preserve">TC-CHK-006</t>
  </si>
  <si>
    <t xml:space="preserve">Invalid coupon at checkout stops the order</t>
  </si>
  <si>
    <t xml:space="preserve">Cart: product 7. Checkout with EXPIRED50, then with NOSUCH</t>
  </si>
  <si>
    <t xml:space="preserve">400 each time. No order, stock and cart unchanged</t>
  </si>
  <si>
    <t xml:space="preserve">test_cases_api.py::test_chk_006</t>
  </si>
  <si>
    <t xml:space="preserve">TC-CHK-007</t>
  </si>
  <si>
    <t xml:space="preserve">Coupon minimum is checked again at checkout</t>
  </si>
  <si>
    <t xml:space="preserve">1. Cart ₹1,798 (products 3 and 9); FLAT200 validates
2. Remove product 9 (cart ₹1,499)
3. Checkout with FLAT200</t>
  </si>
  <si>
    <t xml:space="preserve">Checkout returns 400; the discount is not given below the minimum</t>
  </si>
  <si>
    <t xml:space="preserve">test_cases_api.py::test_chk_007</t>
  </si>
  <si>
    <t xml:space="preserve">TC-CHK-008</t>
  </si>
  <si>
    <t xml:space="preserve">A failed checkout does not take stock for the other items</t>
  </si>
  <si>
    <t xml:space="preserve">1. Bob puts product 10 x2 in his cart
2. Alice puts product 5 x1 and product 10 x2 in hers
3. Bob checks out
4. Alice checks out</t>
  </si>
  <si>
    <t xml:space="preserve">Alice gets 409. Product 5 stock is still 50 and her cart still has both lines</t>
  </si>
  <si>
    <t xml:space="preserve">test_cases_api.py::test_chk_008</t>
  </si>
  <si>
    <t xml:space="preserve">TC-CHK-009</t>
  </si>
  <si>
    <t xml:space="preserve">Simultaneous checkouts never oversell</t>
  </si>
  <si>
    <t xml:space="preserve">Product 10 has 2 units. Six users each put 1 in their cart, then all six check out at the same moment</t>
  </si>
  <si>
    <t xml:space="preserve">Exactly 2 orders succeed (201); the other 4 get 409; stock ends at 0, not negative; no server errors</t>
  </si>
  <si>
    <t xml:space="preserve">test_cases_api.py::test_chk_009</t>
  </si>
  <si>
    <t xml:space="preserve">TC-CHK-010</t>
  </si>
  <si>
    <t xml:space="preserve">Submitting checkout twice creates one order</t>
  </si>
  <si>
    <t xml:space="preserve">Cart: product 7. POST /checkout twice in a row</t>
  </si>
  <si>
    <t xml:space="preserve">First: 201. Second: 400 Cart is empty. One order; stock 14</t>
  </si>
  <si>
    <t xml:space="preserve">test_cases_api.py::test_chk_010</t>
  </si>
  <si>
    <t xml:space="preserve">TC-CHK-011</t>
  </si>
  <si>
    <t xml:space="preserve">Two checkout requests for the same cart create one order</t>
  </si>
  <si>
    <t xml:space="preserve">One user has product 5 x1 in the cart. Send 8 checkout requests for that user at the same moment. Repeat 5 times</t>
  </si>
  <si>
    <t xml:space="preserve">Each time exactly one request returns 201; the rest are refused; one order is created and stock drops by 1; no server errors</t>
  </si>
  <si>
    <t xml:space="preserve">test_cases_api.py::test_chk_011</t>
  </si>
  <si>
    <t xml:space="preserve">TC-CHK-012</t>
  </si>
  <si>
    <t xml:space="preserve">Card number must use the digits 0 to 9</t>
  </si>
  <si>
    <t xml:space="preserve">Checkout with 16 Arabic-Indic digits (٤١١١١١١١١١١١١١١١) and 16 full-width digits</t>
  </si>
  <si>
    <t xml:space="preserve">422; no order is created</t>
  </si>
  <si>
    <t xml:space="preserve">test_cases_api.py::test_chk_012</t>
  </si>
  <si>
    <t xml:space="preserve">TC-CHK-013</t>
  </si>
  <si>
    <t xml:space="preserve">Shipping details are stored with the order</t>
  </si>
  <si>
    <t xml:space="preserve">Cart: product 5. POST /checkout with a card and a shipping object (name padded with spaces). GET the order. Also GET /shipping/options</t>
  </si>
  <si>
    <t xml:space="preserve">201. The order returns the same shipping details with the name trimmed. Options list India, 36 states and territories, and a shipping fee of 0</t>
  </si>
  <si>
    <t xml:space="preserve">test_cases_api.py::test_chk_013</t>
  </si>
  <si>
    <t xml:space="preserve">TC-CHK-014</t>
  </si>
  <si>
    <t xml:space="preserve">Invalid shipping details stop the order</t>
  </si>
  <si>
    <t xml:space="preserve">Cart: product 5. Checkout with, one at a time: bad email; blank name; blank address line 1; blank city; state 'Atlantis'; PIN '1234', '012345', '5600011', 'abcdef'; country 'Nepal'; a 201-character address line; a missing field</t>
  </si>
  <si>
    <t xml:space="preserve">422 for each. No order is created, stock and cart are unchanged</t>
  </si>
  <si>
    <t xml:space="preserve">test_cases_api.py::test_chk_014</t>
  </si>
  <si>
    <t xml:space="preserve">TC-CHK-015</t>
  </si>
  <si>
    <t xml:space="preserve">An order cannot be placed without a delivery address</t>
  </si>
  <si>
    <t xml:space="preserve">Cart: product 5. POST /checkout with a card but no shipping object</t>
  </si>
  <si>
    <t xml:space="preserve">422; a shop cannot deliver an order that has no address. No order is created</t>
  </si>
  <si>
    <t xml:space="preserve">test_cases_api.py::test_chk_015</t>
  </si>
  <si>
    <t xml:space="preserve">TC-COUP-001</t>
  </si>
  <si>
    <t xml:space="preserve">Percentage coupon</t>
  </si>
  <si>
    <t xml:space="preserve">Cart: Laptop Pro 15 (₹42,990). Validate WELCOME10</t>
  </si>
  <si>
    <t xml:space="preserve">Discount 4299, total 38691</t>
  </si>
  <si>
    <t xml:space="preserve">test_cases_api.py::test_coup_001</t>
  </si>
  <si>
    <t xml:space="preserve">TC-COUP-002</t>
  </si>
  <si>
    <t xml:space="preserve">Coupon code ignores letter case and surrounding spaces</t>
  </si>
  <si>
    <t xml:space="preserve">Validate '  welcome10 ' with product 12 in the cart</t>
  </si>
  <si>
    <t xml:space="preserve">Accepted as WELCOME10</t>
  </si>
  <si>
    <t xml:space="preserve">test_cases_api.py::test_coup_002</t>
  </si>
  <si>
    <t xml:space="preserve">TC-COUP-003</t>
  </si>
  <si>
    <t xml:space="preserve">Flat coupon needs its minimum order value</t>
  </si>
  <si>
    <t xml:space="preserve">1. Cart ₹1,499 (product 3): validate FLAT200
2. Add product 9 (cart ₹1,798): validate FLAT200</t>
  </si>
  <si>
    <t xml:space="preserve">1: 400 with the minimum stated. 2: discount 200, total 1598. (Exactly ₹1,500 cannot be reached with the seed prices)</t>
  </si>
  <si>
    <t xml:space="preserve">test_cases_api.py::test_coup_003</t>
  </si>
  <si>
    <t xml:space="preserve">TC-COUP-004</t>
  </si>
  <si>
    <t xml:space="preserve">Expired, disabled and unknown coupons are rejected with a clear reason</t>
  </si>
  <si>
    <t xml:space="preserve">Validate EXPIRED50, DISABLED20 and NOSUCH</t>
  </si>
  <si>
    <t xml:space="preserve">400 each, with messages: Coupon has expired / Coupon is not active / Coupon not found</t>
  </si>
  <si>
    <t xml:space="preserve">test_cases_api.py::test_coup_004</t>
  </si>
  <si>
    <t xml:space="preserve">TC-COUP-005</t>
  </si>
  <si>
    <t xml:space="preserve">Percentage discount is a whole number of rupees and never more than the stated percentage</t>
  </si>
  <si>
    <t xml:space="preserve">Cart ₹499 (product 5). Validate WELCOME10 (10% = ₹49.90)</t>
  </si>
  <si>
    <t xml:space="preserve">Discount is 49 or 50 and subtotal - discount = total</t>
  </si>
  <si>
    <t xml:space="preserve">test_cases_api.py::test_coup_005</t>
  </si>
  <si>
    <t xml:space="preserve">TC-COUP-006</t>
  </si>
  <si>
    <t xml:space="preserve">Coupon cannot be applied to an empty cart</t>
  </si>
  <si>
    <t xml:space="preserve">With an empty cart, validate WELCOME10</t>
  </si>
  <si>
    <t xml:space="preserve">400, since there is nothing to discount</t>
  </si>
  <si>
    <t xml:space="preserve">test_cases_api.py::test_coup_006</t>
  </si>
  <si>
    <t xml:space="preserve">TC-ORD-001</t>
  </si>
  <si>
    <t xml:space="preserve">Order list shows only my orders, newest first</t>
  </si>
  <si>
    <t xml:space="preserve">Alice places two orders, Bob places one. Each calls GET /orders</t>
  </si>
  <si>
    <t xml:space="preserve">Alice sees her two with the newer first; Bob sees only his</t>
  </si>
  <si>
    <t xml:space="preserve">test_cases_api.py::test_ord_001</t>
  </si>
  <si>
    <t xml:space="preserve">TC-ORD-002</t>
  </si>
  <si>
    <t xml:space="preserve">Order detail adds up</t>
  </si>
  <si>
    <t xml:space="preserve">Place an order for product 6 x3 with WELCOME10, then GET /orders/{id}</t>
  </si>
  <si>
    <t xml:space="preserve">One line: Denim Jacket, 2199 x 3 = 6597. Subtotal 6597, discount 659, total 5938; total = subtotal - discount</t>
  </si>
  <si>
    <t xml:space="preserve">test_cases_api.py::test_ord_002</t>
  </si>
  <si>
    <t xml:space="preserve">TC-ORD-003</t>
  </si>
  <si>
    <t xml:space="preserve">Another user's order cannot be seen or cancelled</t>
  </si>
  <si>
    <t xml:space="preserve">Alice places an order. Bob calls GET and POST cancel on its id</t>
  </si>
  <si>
    <t xml:space="preserve">404 for both; the order stays paid</t>
  </si>
  <si>
    <t xml:space="preserve">test_cases_api.py::test_ord_003</t>
  </si>
  <si>
    <t xml:space="preserve">TC-ORD-004</t>
  </si>
  <si>
    <t xml:space="preserve">Cancelling an order returns the stock, once</t>
  </si>
  <si>
    <t xml:space="preserve">Order product 1 x3 (stock 12 to 9). Cancel it. Cancel it again</t>
  </si>
  <si>
    <t xml:space="preserve">First cancel: status cancelled, stock back to 12. Second cancel: 409 and stock stays 12</t>
  </si>
  <si>
    <t xml:space="preserve">test_cases_api.py::test_ord_004</t>
  </si>
  <si>
    <t xml:space="preserve">TC-ORD-005</t>
  </si>
  <si>
    <t xml:space="preserve">Unknown and malformed order ids</t>
  </si>
  <si>
    <t xml:space="preserve">GET /orders/999 and /orders/abc; POST /orders/999/cancel</t>
  </si>
  <si>
    <t xml:space="preserve">test_cases_api.py::test_ord_005</t>
  </si>
  <si>
    <t xml:space="preserve">TC-ORD-006</t>
  </si>
  <si>
    <t xml:space="preserve">Order records when it was placed</t>
  </si>
  <si>
    <t xml:space="preserve">Place an order and read created_at</t>
  </si>
  <si>
    <t xml:space="preserve">A UTC timestamp within the last minute</t>
  </si>
  <si>
    <t xml:space="preserve">test_cases_api.py::test_ord_006</t>
  </si>
  <si>
    <t xml:space="preserve">TC-ORD-007</t>
  </si>
  <si>
    <t xml:space="preserve">A cancelled order's stock can be bought again</t>
  </si>
  <si>
    <t xml:space="preserve">Order all 2 units of product 10, cancel, then order 2 again</t>
  </si>
  <si>
    <t xml:space="preserve">The second order succeeds</t>
  </si>
  <si>
    <t xml:space="preserve">test_cases_api.py::test_ord_007</t>
  </si>
  <si>
    <t xml:space="preserve">TC-ORD-008</t>
  </si>
  <si>
    <t xml:space="preserve">Cancelling the same order from several requests at once returns the stock once</t>
  </si>
  <si>
    <t xml:space="preserve">Order product 1 x3 (stock 12 to 9). Send 6 cancel requests for it at the same moment. Repeat 3 times</t>
  </si>
  <si>
    <t xml:space="preserve">Each time exactly one cancel succeeds, the rest get 409, and stock is back to 12, not higher</t>
  </si>
  <si>
    <t xml:space="preserve">test_cases_api.py::test_ord_008</t>
  </si>
  <si>
    <t xml:space="preserve">TC-PROD-001</t>
  </si>
  <si>
    <t xml:space="preserve">Catalogue lists all products with complete data</t>
  </si>
  <si>
    <t xml:space="preserve">GET /products</t>
  </si>
  <si>
    <t xml:space="preserve">200 with 30 products; each has id, name, category, price, mrp, discount_percent, rating, reviews, stock, in_stock</t>
  </si>
  <si>
    <t xml:space="preserve">test_cases_api.py::test_prod_001</t>
  </si>
  <si>
    <t xml:space="preserve">TC-PROD-002</t>
  </si>
  <si>
    <t xml:space="preserve">Search matches part of the name in any letter case</t>
  </si>
  <si>
    <t xml:space="preserve">GET /products?q=RUNNING and ?q=shoe</t>
  </si>
  <si>
    <t xml:space="preserve">RUNNING: products 1, 2, 3. shoe: products 1, 2, 3, 4</t>
  </si>
  <si>
    <t xml:space="preserve">test_cases_api.py::test_prod_002</t>
  </si>
  <si>
    <t xml:space="preserve">TC-PROD-003</t>
  </si>
  <si>
    <t xml:space="preserve">Category filter agrees with the category counts</t>
  </si>
  <si>
    <t xml:space="preserve">1. GET /categories
2. For each category GET /products?category=&lt;slug&gt;
3. GET /products?category=nonsense</t>
  </si>
  <si>
    <t xml:space="preserve">Each list has exactly the count from /categories and only that category; unknown category returns an empty list</t>
  </si>
  <si>
    <t xml:space="preserve">test_cases_api.py::test_prod_003</t>
  </si>
  <si>
    <t xml:space="preserve">TC-PROD-004</t>
  </si>
  <si>
    <t xml:space="preserve">Price range limits are inclusive</t>
  </si>
  <si>
    <t xml:space="preserve">GET /products?min_price=1499&amp;max_price=1499, then min_price=1500&amp;max_price=1898</t>
  </si>
  <si>
    <t xml:space="preserve">First: only product 3 (₹1,499). Second: empty</t>
  </si>
  <si>
    <t xml:space="preserve">test_cases_api.py::test_prod_004</t>
  </si>
  <si>
    <t xml:space="preserve">TC-PROD-005</t>
  </si>
  <si>
    <t xml:space="preserve">Minimum price above maximum price</t>
  </si>
  <si>
    <t xml:space="preserve">GET /products?min_price=5000&amp;max_price=100</t>
  </si>
  <si>
    <t xml:space="preserve">200 with an empty list</t>
  </si>
  <si>
    <t xml:space="preserve">test_cases_api.py::test_prod_005</t>
  </si>
  <si>
    <t xml:space="preserve">TC-PROD-006</t>
  </si>
  <si>
    <t xml:space="preserve">Every sort option orders the list correctly</t>
  </si>
  <si>
    <t xml:space="preserve">GET /products with sort = price_asc, price_desc, name, rating, discount</t>
  </si>
  <si>
    <t xml:space="preserve">Lists are ordered by that field; all 30 products are still present</t>
  </si>
  <si>
    <t xml:space="preserve">test_cases_api.py::test_prod_006</t>
  </si>
  <si>
    <t xml:space="preserve">TC-PROD-007</t>
  </si>
  <si>
    <t xml:space="preserve">Availability filter</t>
  </si>
  <si>
    <t xml:space="preserve">GET /products?in_stock=false, then in_stock=true</t>
  </si>
  <si>
    <t xml:space="preserve">false: only product 8. true: 29 products, none with stock 0</t>
  </si>
  <si>
    <t xml:space="preserve">test_cases_api.py::test_prod_007</t>
  </si>
  <si>
    <t xml:space="preserve">TC-PROD-008</t>
  </si>
  <si>
    <t xml:space="preserve">Invalid query parameters are rejected</t>
  </si>
  <si>
    <t xml:space="preserve">GET /products with sort=bogus, min_price=-1, max_price=abc, limit=0, limit=101, in_stock=maybe</t>
  </si>
  <si>
    <t xml:space="preserve">test_cases_api.py::test_prod_008</t>
  </si>
  <si>
    <t xml:space="preserve">TC-PROD-009</t>
  </si>
  <si>
    <t xml:space="preserve">Discount shown matches list price and selling price</t>
  </si>
  <si>
    <t xml:space="preserve">For every product compare discount_percent with (mrp - price) / mrp</t>
  </si>
  <si>
    <t xml:space="preserve">discount_percent is the percentage rounded to the nearest whole number, for all 30 products</t>
  </si>
  <si>
    <t xml:space="preserve">test_cases_api.py::test_prod_009</t>
  </si>
  <si>
    <t xml:space="preserve">TC-PROD-010</t>
  </si>
  <si>
    <t xml:space="preserve">Unknown and malformed product ids</t>
  </si>
  <si>
    <t xml:space="preserve">GET /products/999, /products/0, /products/abc</t>
  </si>
  <si>
    <t xml:space="preserve">999 and 0: 404. abc: 422</t>
  </si>
  <si>
    <t xml:space="preserve">test_cases_api.py::test_prod_010</t>
  </si>
  <si>
    <t xml:space="preserve">TC-PROD-011</t>
  </si>
  <si>
    <t xml:space="preserve">Search treats % and _ as ordinary characters</t>
  </si>
  <si>
    <t xml:space="preserve">GET /products?q=% and GET /products?q=_</t>
  </si>
  <si>
    <t xml:space="preserve">%: only the two products whose specs really contain a % sign (5 '100% cotton' and 26 '70% cocoa'). _: nothing. Neither acts as a wildcard</t>
  </si>
  <si>
    <t xml:space="preserve">test_cases_api.py::test_prod_011</t>
  </si>
  <si>
    <t xml:space="preserve">TC-PROD-012</t>
  </si>
  <si>
    <t xml:space="preserve">Search is safe against SQL injection</t>
  </si>
  <si>
    <t xml:space="preserve">GET /products?q=' OR '1'='1 and q="; DROP TABLE products;--</t>
  </si>
  <si>
    <t xml:space="preserve">200 with an empty list; the catalogue is intact afterwards</t>
  </si>
  <si>
    <t xml:space="preserve">test_cases_api.py::test_prod_012</t>
  </si>
  <si>
    <t xml:space="preserve">TC-PROD-013</t>
  </si>
  <si>
    <t xml:space="preserve">Search ignores spaces around the search text</t>
  </si>
  <si>
    <t xml:space="preserve">GET /products?q=%20shoes%20 (a space before and after)</t>
  </si>
  <si>
    <t xml:space="preserve">Products 1, 2, 3, 4</t>
  </si>
  <si>
    <t xml:space="preserve">test_cases_api.py::test_prod_013</t>
  </si>
  <si>
    <t xml:space="preserve">TC-PROD-014</t>
  </si>
  <si>
    <t xml:space="preserve">Filters combine, and limit caps the list</t>
  </si>
  <si>
    <t xml:space="preserve">GET /products?category=sports&amp;max_price=2000&amp;sort=price_asc, then add limit=2</t>
  </si>
  <si>
    <t xml:space="preserve">Products 28, 3, 27 in that order; with limit=2: 28, 3</t>
  </si>
  <si>
    <t xml:space="preserve">test_cases_api.py::test_prod_014</t>
  </si>
  <si>
    <t xml:space="preserve">TC-PROD-015</t>
  </si>
  <si>
    <t xml:space="preserve">Catalogue data is sane</t>
  </si>
  <si>
    <t xml:space="preserve">Check every product</t>
  </si>
  <si>
    <t xml:space="preserve">price &gt; 0, price &lt;= mrp, stock &gt;= 0, rating between 0 and 5, in_stock matches stock</t>
  </si>
  <si>
    <t xml:space="preserve">test_cases_api.py::test_prod_015</t>
  </si>
  <si>
    <t xml:space="preserve">TC-PROD-016</t>
  </si>
  <si>
    <t xml:space="preserve">Search finds products by part of a word in the name, category or specs</t>
  </si>
  <si>
    <t xml:space="preserve">GET /products with q = mob, MOB, amoled, run sh, red lip, mob zzz</t>
  </si>
  <si>
    <t xml:space="preserve">mob and MOB: the 3 mobile products (9, 11, 15), found through the category. amoled: product 11, found through its specs. 'run sh': the 3 running shoes. 'red lip': product 20. 'mob zzz': nothing, because every word must match</t>
  </si>
  <si>
    <t xml:space="preserve">test_cases_api.py::test_prod_016</t>
  </si>
  <si>
    <t xml:space="preserve">TC-PROD-017</t>
  </si>
  <si>
    <t xml:space="preserve">Search suggestions</t>
  </si>
  <si>
    <t xml:space="preserve">GET /products/suggest with q = mob, ph, m, (empty), zz, %%, and q=sho&amp;limit=2; then limit=0 and limit=21</t>
  </si>
  <si>
    <t xml:space="preserve">mob: category Mobiles (3 products) and products 9, 11, 15. ph: products whose name has a word starting with 'ph' come first (9, 15), then other matches (11, 14). One character or empty: no suggestions. zz and %%: no suggestions. limit=2: two products but total 5. limit 0 or 21: 422</t>
  </si>
  <si>
    <t xml:space="preserve">test_cases_api.py::test_prod_017</t>
  </si>
  <si>
    <t xml:space="preserve">TC-SEC-001</t>
  </si>
  <si>
    <t xml:space="preserve">The data reset endpoint is not open to anyone</t>
  </si>
  <si>
    <t xml:space="preserve">Place an order, then POST /test/reset: 1. with no key
2. with a wrong X-Reset-Key
3. with the right key</t>
  </si>
  <si>
    <t xml:space="preserve">1 and 2: 403 and the order still exists. 3: 200 and the data is back to the seed state</t>
  </si>
  <si>
    <t xml:space="preserve">test_cases_api.py::test_sec_001</t>
  </si>
  <si>
    <t xml:space="preserve">TC-SEC-002</t>
  </si>
  <si>
    <t xml:space="preserve">A user cannot act on another user's cart or order by guessing ids</t>
  </si>
  <si>
    <t xml:space="preserve">Alice has product 5 in her cart and one order. Bob tries PUT and DELETE on product 5 in 'his' cart and reads order ids 1 to 3</t>
  </si>
  <si>
    <t xml:space="preserve">Bob gets 404 everywhere; Alice's data is unchanged</t>
  </si>
  <si>
    <t xml:space="preserve">test_cases_api.py::test_sec_002</t>
  </si>
  <si>
    <t xml:space="preserve">TC-SEC-003</t>
  </si>
  <si>
    <t xml:space="preserve">Markup in a name is stored and returned as plain text</t>
  </si>
  <si>
    <t xml:space="preserve">Register with the name &lt;script&gt;alert(1)&lt;/script&gt; and read /me</t>
  </si>
  <si>
    <t xml:space="preserve">201; /me returns exactly the same text as JSON (the page is responsible for showing it safely)</t>
  </si>
  <si>
    <t xml:space="preserve">test_cases_api.py::test_sec_003</t>
  </si>
  <si>
    <t xml:space="preserve">TC-SEC-004</t>
  </si>
  <si>
    <t xml:space="preserve">Very large numbers never crash the server</t>
  </si>
  <si>
    <t xml:space="preserve">Use the number 10^30 as: product id, order id, min_price, max_price, limit, cart product_id, cart quantity, cart PUT/DELETE id</t>
  </si>
  <si>
    <t xml:space="preserve">Each request gets a 4xx answer (404 or 422 or 409). None returns 500</t>
  </si>
  <si>
    <t xml:space="preserve">test_cases_api.py::test_sec_004</t>
  </si>
  <si>
    <t xml:space="preserve">TC-SYS-001</t>
  </si>
  <si>
    <t xml:space="preserve">Reset returns everything to the seed state</t>
  </si>
  <si>
    <t xml:space="preserve">Register a user, place an order, leave an item in a cart, then POST /test/reset</t>
  </si>
  <si>
    <t xml:space="preserve">Stock is back to seed values; the new user, all orders, carts and old tokens are gone; seed users can log in</t>
  </si>
  <si>
    <t xml:space="preserve">test_cases_api.py::test_sys_001</t>
  </si>
  <si>
    <t xml:space="preserve">TC-SYS-002</t>
  </si>
  <si>
    <t xml:space="preserve">Health check and error format</t>
  </si>
  <si>
    <t xml:space="preserve">GET /health; GET /products/999</t>
  </si>
  <si>
    <t xml:space="preserve">Health: 200 {status: ok}. Errors are JSON with a 'detail' field</t>
  </si>
  <si>
    <t xml:space="preserve">test_cases_api.py::test_sys_002</t>
  </si>
  <si>
    <t xml:space="preserve">TC-UI-001</t>
  </si>
  <si>
    <t xml:space="preserve">Home page shows banners, product strips and all categories</t>
  </si>
  <si>
    <t xml:space="preserve">Open the home page</t>
  </si>
  <si>
    <t xml:space="preserve">4 banners, 3 product strips with 8 products each, 11 category tabs with 'For You' active</t>
  </si>
  <si>
    <t xml:space="preserve">test_cases_ui.py::test_ui_001</t>
  </si>
  <si>
    <t xml:space="preserve">TC-UI-002</t>
  </si>
  <si>
    <t xml:space="preserve">Banner carousel controls</t>
  </si>
  <si>
    <t xml:space="preserve">On the home page: click next, click previous, click the third dot</t>
  </si>
  <si>
    <t xml:space="preserve">The highlighted dot follows: 2nd, then 1st; the third dot becomes active after clicking it (on a wide screen it may stop at the last scroll position)</t>
  </si>
  <si>
    <t xml:space="preserve">test_cases_ui.py::test_ui_002</t>
  </si>
  <si>
    <t xml:space="preserve">TC-UI-003</t>
  </si>
  <si>
    <t xml:space="preserve">Category tab filters the catalogue</t>
  </si>
  <si>
    <t xml:space="preserve">Click the Books tab, then the Toys tab</t>
  </si>
  <si>
    <t xml:space="preserve">Title and results match the category (2 products each) and only that tab is highlighted</t>
  </si>
  <si>
    <t xml:space="preserve">test_cases_ui.py::test_ui_003</t>
  </si>
  <si>
    <t xml:space="preserve">TC-UI-004</t>
  </si>
  <si>
    <t xml:space="preserve">Header search</t>
  </si>
  <si>
    <t xml:space="preserve">1. Search for 'running'
2. Search for 'zzzz'
3. Search for spaces only</t>
  </si>
  <si>
    <t xml:space="preserve">1: 3 products and a 'Results for' title. 2: '0 products' and a no-results message. 3: all 30 products</t>
  </si>
  <si>
    <t xml:space="preserve">test_cases_ui.py::test_ui_004</t>
  </si>
  <si>
    <t xml:space="preserve">TC-UI-005</t>
  </si>
  <si>
    <t xml:space="preserve">Filters work, are kept in the address, and can be cleared</t>
  </si>
  <si>
    <t xml:space="preserve">1. On All products set Category Sports, Max price 2000, Sort low to high, Apply
2. Reload the page
3. Click Clear</t>
  </si>
  <si>
    <t xml:space="preserve">1: 3 products, cheapest first, address contains the filters. 2: same results and the filter fields still show the values. 3: 30 products</t>
  </si>
  <si>
    <t xml:space="preserve">test_cases_ui.py::test_ui_005</t>
  </si>
  <si>
    <t xml:space="preserve">TC-UI-006</t>
  </si>
  <si>
    <t xml:space="preserve">Product card shows price, list price, discount and stock</t>
  </si>
  <si>
    <t xml:space="preserve">On All products look at Smartphone X1 (id 11) and Bluetooth Speaker (id 8)</t>
  </si>
  <si>
    <t xml:space="preserve">X1: ₹49,999, struck-through ₹55,999, '11% OFF', '9 in stock', button enabled. Speaker: 'Out of stock', button disabled</t>
  </si>
  <si>
    <t xml:space="preserve">test_cases_ui.py::test_ui_006</t>
  </si>
  <si>
    <t xml:space="preserve">TC-UI-007</t>
  </si>
  <si>
    <t xml:space="preserve">Product page</t>
  </si>
  <si>
    <t xml:space="preserve">1. Click 'Smartphone X1' in the list
2. Open /#/p/8 (out of stock)
3. Open /#/p/999</t>
  </si>
  <si>
    <t xml:space="preserve">1: name, ₹49,999, 11% OFF, 9 in stock, Mobiles link. 2: Out of stock, quantity and button disabled. 3: 'Product not found' message</t>
  </si>
  <si>
    <t xml:space="preserve">test_cases_ui.py::test_ui_007</t>
  </si>
  <si>
    <t xml:space="preserve">TC-UI-008</t>
  </si>
  <si>
    <t xml:space="preserve">Adding to cart while logged out asks for login, then returns</t>
  </si>
  <si>
    <t xml:space="preserve">Logged out, open product 10, set quantity 2, click Add to cart; log in</t>
  </si>
  <si>
    <t xml:space="preserve">Login page with 'Please log in first.'; after login the same product page is shown again</t>
  </si>
  <si>
    <t xml:space="preserve">test_cases_ui.py::test_ui_008</t>
  </si>
  <si>
    <t xml:space="preserve">TC-UI-009</t>
  </si>
  <si>
    <t xml:space="preserve">Login and logout</t>
  </si>
  <si>
    <t xml:space="preserve">1. Log in with a wrong password
2. Log in correctly
3. Log out</t>
  </si>
  <si>
    <t xml:space="preserve">1: 'Wrong email or password' under the password field, still on the login page. 2: header shows Alice. 3: header shows Login / Sign Up</t>
  </si>
  <si>
    <t xml:space="preserve">test_cases_ui.py::test_ui_009</t>
  </si>
  <si>
    <t xml:space="preserve">TC-UI-010</t>
  </si>
  <si>
    <t xml:space="preserve">Show and hide password</t>
  </si>
  <si>
    <t xml:space="preserve">On the login page type a password and click the eye button twice</t>
  </si>
  <si>
    <t xml:space="preserve">The password becomes readable, then hidden again</t>
  </si>
  <si>
    <t xml:space="preserve">test_cases_ui.py::test_ui_010</t>
  </si>
  <si>
    <t xml:space="preserve">TC-UI-011</t>
  </si>
  <si>
    <t xml:space="preserve">Remember me</t>
  </si>
  <si>
    <t xml:space="preserve">1. Log in with Remember me unticked and open the shop in a new tab
2. Log out, log in with it ticked, open a new tab</t>
  </si>
  <si>
    <t xml:space="preserve">1: the new tab is logged out. 2: the new tab is logged in as Alice</t>
  </si>
  <si>
    <t xml:space="preserve">test_cases_ui.py::test_ui_011</t>
  </si>
  <si>
    <t xml:space="preserve">TC-UI-012</t>
  </si>
  <si>
    <t xml:space="preserve">Sign up</t>
  </si>
  <si>
    <t xml:space="preserve">1. Type passwords 'abc', 'Abcdef12', 'Abcdef12!xyz' and watch the meter
2. Enter a different confirm password and submit
3. Fix it and submit
4. Log out and sign up again with the same email</t>
  </si>
  <si>
    <t xml:space="preserve">1: Weak, Medium, Strong. 2: 'Passwords do not match' under the confirm field. 3: logged in under the new name. 4: 'This email is already registered. Log in instead' under the email field</t>
  </si>
  <si>
    <t xml:space="preserve">test_cases_ui.py::test_ui_012</t>
  </si>
  <si>
    <t xml:space="preserve">TC-UI-013</t>
  </si>
  <si>
    <t xml:space="preserve">Sign-up shows a plain message under every field that is wrong</t>
  </si>
  <si>
    <t xml:space="preserve">Open Sign Up and click Create Account with every field empty. Then type 'ab' as the password</t>
  </si>
  <si>
    <t xml:space="preserve">Four messages at once, each under its own field: 'Enter your full name', 'Enter your email address', 'Create a password', 'Enter your password again'. The cursor moves to the first wrong field. No technical text anywhere and nothing in the top banner. The password message changes to 'Password must be at least 8 characters' while typing</t>
  </si>
  <si>
    <t xml:space="preserve">test_cases_ui.py::test_ui_013</t>
  </si>
  <si>
    <t xml:space="preserve">TC-UI-014</t>
  </si>
  <si>
    <t xml:space="preserve">A name containing HTML is shown as text, not run</t>
  </si>
  <si>
    <t xml:space="preserve">Sign up with the name &lt;img src=x onerror=window.__xss=1&gt; and look at the header</t>
  </si>
  <si>
    <t xml:space="preserve">The header shows the name as typed; no image element is created and no script runs</t>
  </si>
  <si>
    <t xml:space="preserve">test_cases_ui.py::test_ui_014</t>
  </si>
  <si>
    <t xml:space="preserve">TC-UI-015</t>
  </si>
  <si>
    <t xml:space="preserve">Cart and Orders need a login</t>
  </si>
  <si>
    <t xml:space="preserve">Logged out, open /#/orders; log in</t>
  </si>
  <si>
    <t xml:space="preserve">Login page with 'Please log in first.'; after login the Orders page opens</t>
  </si>
  <si>
    <t xml:space="preserve">test_cases_ui.py::test_ui_015</t>
  </si>
  <si>
    <t xml:space="preserve">TC-UI-016</t>
  </si>
  <si>
    <t xml:space="preserve">Expired session is handled</t>
  </si>
  <si>
    <t xml:space="preserve">Log in, add an item, then reset the server data (which invalidates the session) and open the Cart</t>
  </si>
  <si>
    <t xml:space="preserve">Login page with 'Your session has ended. Please log in again.'; header shows Login / Sign Up</t>
  </si>
  <si>
    <t xml:space="preserve">test_cases_ui.py::test_ui_016</t>
  </si>
  <si>
    <t xml:space="preserve">TC-UI-017</t>
  </si>
  <si>
    <t xml:space="preserve">Cart badge counts units, on every page</t>
  </si>
  <si>
    <t xml:space="preserve">Log in. Add product 5 from the list twice and product 9 once. Visit home, a product page and the cart</t>
  </si>
  <si>
    <t xml:space="preserve">Badge shows 1, 2, then 3 and stays 3 on every page; 'Added to cart.' is shown after each add</t>
  </si>
  <si>
    <t xml:space="preserve">test_cases_ui.py::test_ui_017</t>
  </si>
  <si>
    <t xml:space="preserve">TC-UI-018</t>
  </si>
  <si>
    <t xml:space="preserve">Cart page: change quantity and remove</t>
  </si>
  <si>
    <t xml:space="preserve">Cart has product 5 x1 and product 10 x1. 1. Set product 5 to 3
2. Set product 10 to 5
3. Set product 5 to 0
4. Remove product 10
5. Remove product 5</t>
  </si>
  <si>
    <t xml:space="preserve">1: line ₹1,497, subtotal ₹2,146. 2: 'Only 2 in stock' under that row's quantity, which goes back to 1. 3: 'Quantity must be at least 1' under that row's quantity, which goes back to 3; totals unchanged. 4: subtotal ₹1,497. 5: empty-cart message, badge 0</t>
  </si>
  <si>
    <t xml:space="preserve">test_cases_ui.py::test_ui_018</t>
  </si>
  <si>
    <t xml:space="preserve">TC-UI-019</t>
  </si>
  <si>
    <t xml:space="preserve">Coupons on the cart page</t>
  </si>
  <si>
    <t xml:space="preserve">Cart: product 3 (₹1,499). 1. Apply EXPIRED50
2. Apply FLAT200
3. Apply welcome10
4. Click Remove on the coupon</t>
  </si>
  <si>
    <t xml:space="preserve">1: 'Coupon has expired' under the code field. 2: a message about the ₹1,500 minimum under the code field (and 'Enter a coupon code' if it is empty). 3: discount −₹149, total ₹1,350, 'Coupon WELCOME10 applied.' 4: discount −₹0, total ₹1,499</t>
  </si>
  <si>
    <t xml:space="preserve">test_cases_ui.py::test_ui_019</t>
  </si>
  <si>
    <t xml:space="preserve">TC-UI-020</t>
  </si>
  <si>
    <t xml:space="preserve">An applied coupon is dropped when the cart falls below its minimum</t>
  </si>
  <si>
    <t xml:space="preserve">Cart: products 3 and 9 (₹1,798). Apply FLAT200 (total ₹1,598). Remove product 9</t>
  </si>
  <si>
    <t xml:space="preserve">The coupon is removed with a message saying why; total is ₹1,499 with no discount</t>
  </si>
  <si>
    <t xml:space="preserve">test_cases_ui.py::test_ui_020</t>
  </si>
  <si>
    <t xml:space="preserve">TC-UI-021</t>
  </si>
  <si>
    <t xml:space="preserve">An applied coupon survives a page refresh</t>
  </si>
  <si>
    <t xml:space="preserve">Cart: product 3. Apply WELCOME10 (total ₹1,350). Reload the page</t>
  </si>
  <si>
    <t xml:space="preserve">The coupon is still applied and the total is still ₹1,350</t>
  </si>
  <si>
    <t xml:space="preserve">test_cases_ui.py::test_ui_021</t>
  </si>
  <si>
    <t xml:space="preserve">TC-UI-022</t>
  </si>
  <si>
    <t xml:space="preserve">Checkout: payment step and placing the order</t>
  </si>
  <si>
    <t xml:space="preserve">Cart: product 7 with WELCOME10. Proceed to checkout, fill shipping, continue. 1. Continue with card '123'
2. Use 4000000000000002, continue, place order
3. Use '4111 1111 1111 1111', continue, place order</t>
  </si>
  <si>
    <t xml:space="preserve">1: 'Card number must be 16 digits (you entered 3)' under the card field, still on Payment. 2: back on Payment with 'Payment declined. Try another card' under the card field; cart unchanged. 3: order page 'Order #1', paid, total ₹1,800, 'Order placed.', badge 0</t>
  </si>
  <si>
    <t xml:space="preserve">test_cases_ui.py::test_ui_022</t>
  </si>
  <si>
    <t xml:space="preserve">TC-UI-023</t>
  </si>
  <si>
    <t xml:space="preserve">Orders list and cancelling an order</t>
  </si>
  <si>
    <t xml:space="preserve">Place an order for product 10 x2, open Orders, open the order, click Cancel order, then open product 10</t>
  </si>
  <si>
    <t xml:space="preserve">List shows the order as paid; after cancel the status is cancelled, the Cancel button is gone, and product 10 shows '2 in stock' again</t>
  </si>
  <si>
    <t xml:space="preserve">test_cases_ui.py::test_ui_023</t>
  </si>
  <si>
    <t xml:space="preserve">TC-UI-024</t>
  </si>
  <si>
    <t xml:space="preserve">Opening an order that does not exist</t>
  </si>
  <si>
    <t xml:space="preserve">Log in and open /#/orders/999</t>
  </si>
  <si>
    <t xml:space="preserve">'Order not found' message</t>
  </si>
  <si>
    <t xml:space="preserve">test_cases_ui.py::test_ui_024</t>
  </si>
  <si>
    <t xml:space="preserve">TC-UI-025</t>
  </si>
  <si>
    <t xml:space="preserve">Browser Back and Forward buttons</t>
  </si>
  <si>
    <t xml:space="preserve">Home, click Books, click the first product, press Back twice, press Forward</t>
  </si>
  <si>
    <t xml:space="preserve">Back: Books list, then home. Forward: Books list again</t>
  </si>
  <si>
    <t xml:space="preserve">test_cases_ui.py::test_ui_025</t>
  </si>
  <si>
    <t xml:space="preserve">TC-UI-026</t>
  </si>
  <si>
    <t xml:space="preserve">Pages fit a phone screen</t>
  </si>
  <si>
    <t xml:space="preserve">At 375 px width open home, All products, a product page, login, sign up and (logged in) the cart</t>
  </si>
  <si>
    <t xml:space="preserve">No page scrolls sideways</t>
  </si>
  <si>
    <t xml:space="preserve">test_cases_ui.py::test_ui_026</t>
  </si>
  <si>
    <t xml:space="preserve">TC-UI-027</t>
  </si>
  <si>
    <t xml:space="preserve">Browser tab title names the current page</t>
  </si>
  <si>
    <t xml:space="preserve">Open home, then a product page, then the cart</t>
  </si>
  <si>
    <t xml:space="preserve">The tab title changes with the page (for example 'Smartphone X1 – Practice Shop')</t>
  </si>
  <si>
    <t xml:space="preserve">test_cases_ui.py::test_ui_027</t>
  </si>
  <si>
    <t xml:space="preserve">TC-UI-028</t>
  </si>
  <si>
    <t xml:space="preserve">The chat assistant is hidden while it is switched off</t>
  </si>
  <si>
    <t xml:space="preserve">Open the home page (server started without AGENT_ENABLED)</t>
  </si>
  <si>
    <t xml:space="preserve">No 'Shopping assistant' button and no chat panel are visible</t>
  </si>
  <si>
    <t xml:space="preserve">test_cases_ui.py::test_ui_028</t>
  </si>
  <si>
    <t xml:space="preserve">TC-UI-029</t>
  </si>
  <si>
    <t xml:space="preserve">Automation ids are unique on each page</t>
  </si>
  <si>
    <t xml:space="preserve">On home, All products, a product page, login and sign up, collect every data-testid outside repeated product cards, table rows and banner controls</t>
  </si>
  <si>
    <t xml:space="preserve">No id appears twice, so a test can address each control without ambiguity</t>
  </si>
  <si>
    <t xml:space="preserve">test_cases_ui.py::test_ui_029</t>
  </si>
  <si>
    <t xml:space="preserve">TC-UI-030</t>
  </si>
  <si>
    <t xml:space="preserve">Checkout page layout and order summary</t>
  </si>
  <si>
    <t xml:space="preserve">Cart: product 5 x2 and product 9 x1 with WELCOME10. Click Proceed to checkout</t>
  </si>
  <si>
    <t xml:space="preserve">Step 1 Shipping is active. Email is pre-filled with the account email, country is India. Summary lists both items, subtotal ₹1,297, shipping ₹0, discount −₹129, total ₹1,168</t>
  </si>
  <si>
    <t xml:space="preserve">test_cases_ui.py::test_ui_030</t>
  </si>
  <si>
    <t xml:space="preserve">TC-UI-031</t>
  </si>
  <si>
    <t xml:space="preserve">Shipping form shows a message under every field that is wrong</t>
  </si>
  <si>
    <t xml:space="preserve">On the Shipping step: 1. Clear the email and click Continue with everything empty
2. Type a bad email
3. Try PIN codes '12a', '1234' and '012345'
4. Fill everything correctly and continue</t>
  </si>
  <si>
    <t xml:space="preserve">1: six messages at once, each under its own field (email, name, address, city, state, PIN); address line 2 has none; cursor in the email field. 2: 'Enter a valid email address, like name@example.com'. 3: 'PIN code can contain digits only', then 'Enter a valid 6-digit PIN code' twice. 4: each message disappears as its field is corrected, and the form moves to Payment</t>
  </si>
  <si>
    <t xml:space="preserve">test_cases_ui.py::test_ui_031</t>
  </si>
  <si>
    <t xml:space="preserve">TC-UI-032</t>
  </si>
  <si>
    <t xml:space="preserve">Review step shows what was entered, and Edit goes back without losing it</t>
  </si>
  <si>
    <t xml:space="preserve">Fill shipping and card 4111111111111111 and reach Review. Click Edit on the address, change the city to Mysuru, continue to Review again</t>
  </si>
  <si>
    <t xml:space="preserve">Review shows name, both address lines, city, state, PIN, country, email and 'Card ending 1111'. After the edit the form still holds the other values, the card is still filled, and Review shows Mysuru</t>
  </si>
  <si>
    <t xml:space="preserve">test_cases_ui.py::test_ui_032</t>
  </si>
  <si>
    <t xml:space="preserve">TC-UI-033</t>
  </si>
  <si>
    <t xml:space="preserve">The order keeps the delivery address</t>
  </si>
  <si>
    <t xml:space="preserve">Place an order through checkout and open the order page</t>
  </si>
  <si>
    <t xml:space="preserve">The order page shows a 'Deliver to' block with the name, address, PIN and email that were entered</t>
  </si>
  <si>
    <t xml:space="preserve">test_cases_ui.py::test_ui_033</t>
  </si>
  <si>
    <t xml:space="preserve">TC-UI-034</t>
  </si>
  <si>
    <t xml:space="preserve">Save this information for next time</t>
  </si>
  <si>
    <t xml:space="preserve">1. Order with the box ticked, add another item and open checkout
2. Order again with the box unticked, add another item and open checkout</t>
  </si>
  <si>
    <t xml:space="preserve">1: the shipping form is pre-filled with the saved address. 2: the form is empty again (email shows the account email)</t>
  </si>
  <si>
    <t xml:space="preserve">test_cases_ui.py::test_ui_034</t>
  </si>
  <si>
    <t xml:space="preserve">TC-UI-035</t>
  </si>
  <si>
    <t xml:space="preserve">Checkout needs a login and a non-empty cart</t>
  </si>
  <si>
    <t xml:space="preserve">1. Logged out, open /#/checkout
2. Log in with an empty cart and open /#/checkout</t>
  </si>
  <si>
    <t xml:space="preserve">1: login page. 2: sent to the cart with 'Your cart is empty.'</t>
  </si>
  <si>
    <t xml:space="preserve">test_cases_ui.py::test_ui_035</t>
  </si>
  <si>
    <t xml:space="preserve">TC-UI-036</t>
  </si>
  <si>
    <t xml:space="preserve">Checkout total follows the cart</t>
  </si>
  <si>
    <t xml:space="preserve">At the Payment step, go Back to Cart, change product 5 from 1 to 3, and proceed to checkout again</t>
  </si>
  <si>
    <t xml:space="preserve">Summary total is ₹1,497 and the shipping details typed earlier are still filled in</t>
  </si>
  <si>
    <t xml:space="preserve">test_cases_ui.py::test_ui_036</t>
  </si>
  <si>
    <t xml:space="preserve">TC-UI-037</t>
  </si>
  <si>
    <t xml:space="preserve">Product page: breadcrumb and 'More in this category'</t>
  </si>
  <si>
    <t xml:space="preserve">Open Smart Watch (id 13). Read the breadcrumb and the 'More in Electronics' strip. Click Laptop Pro 15 in the strip. Then open Mystery Novel (id 29)</t>
  </si>
  <si>
    <t xml:space="preserve">Breadcrumb reads Home &gt; Electronics &gt; Smart Watch. The strip lists the 4 other electronics products, not the Smart Watch itself. Clicking opens that product. Mystery Novel shows exactly 1 related book</t>
  </si>
  <si>
    <t xml:space="preserve">test_cases_ui.py::test_ui_037</t>
  </si>
  <si>
    <t xml:space="preserve">TC-UI-038</t>
  </si>
  <si>
    <t xml:space="preserve">Page headers and empty states on the inner pages</t>
  </si>
  <si>
    <t xml:space="preserve">Logged in with nothing in the cart: open Cart, then Orders. Add product 5 x2 and product 9, open Cart. Open the Sports category</t>
  </si>
  <si>
    <t xml:space="preserve">Empty cart and empty orders each show a message with a button that leads to the home page. The cart header shows '3 item(s)'. The Sports header has an 'All products' button that shows all 30 products</t>
  </si>
  <si>
    <t xml:space="preserve">test_cases_ui.py::test_ui_038</t>
  </si>
  <si>
    <t xml:space="preserve">TC-UI-039</t>
  </si>
  <si>
    <t xml:space="preserve">Suggestions appear while typing in the search box</t>
  </si>
  <si>
    <t xml:space="preserve">On the home page type 'm', then 'mob'. Read the list. Then type 'zzzz'. Then clear the box</t>
  </si>
  <si>
    <t xml:space="preserve">One letter: no list. 'mob': a Categories row 'Mobiles' (3 products), product rows Phone Case, Smartphone X1 and Budget Phone M2 with prices, and 'See all 3 results'. 'zzzz': 'No products match'. Empty box: the list closes</t>
  </si>
  <si>
    <t xml:space="preserve">test_cases_ui.py::test_ui_039</t>
  </si>
  <si>
    <t xml:space="preserve">TC-UI-040</t>
  </si>
  <si>
    <t xml:space="preserve">Choosing a suggestion with the mouse</t>
  </si>
  <si>
    <t xml:space="preserve">Type 'mob' and click the Mobiles category row. Type 'sma' and click Smartphone X1. Type 'mob' and click 'See all'</t>
  </si>
  <si>
    <t xml:space="preserve">Category row: the Mobiles page with 3 products. Product row: the Smartphone X1 page. See all: results page for 'mob' with 3 products. Each time the list closes and the search box is emptied</t>
  </si>
  <si>
    <t xml:space="preserve">test_cases_ui.py::test_ui_040</t>
  </si>
  <si>
    <t xml:space="preserve">TC-UI-041</t>
  </si>
  <si>
    <t xml:space="preserve">Using suggestions with the keyboard</t>
  </si>
  <si>
    <t xml:space="preserve">Type 'mob'. Press Down twice, then Enter. Type 'mob' and press Enter without choosing. Type 'mob', press Escape. Type 'mob' and click elsewhere on the page</t>
  </si>
  <si>
    <t xml:space="preserve">Down twice highlights the first product (Phone Case) and Enter opens it. Enter without a choice runs the search (3 products). Escape closes the list and keeps the text. Clicking elsewhere closes the list</t>
  </si>
  <si>
    <t xml:space="preserve">test_cases_ui.py::test_ui_041</t>
  </si>
  <si>
    <t xml:space="preserve">TC-UI-042</t>
  </si>
  <si>
    <t xml:space="preserve">Suggestions keep up with fast typing and fit a phone screen</t>
  </si>
  <si>
    <t xml:space="preserve">Type 'mobiles' one letter at a time without pausing. Then at 375 px width type 'sho'</t>
  </si>
  <si>
    <t xml:space="preserve">The list ends up showing matches for 'mobiles' only (no leftovers from 'mo' or 'mob'). On the phone the list stays inside the screen</t>
  </si>
  <si>
    <t xml:space="preserve">test_cases_ui.py::test_ui_042</t>
  </si>
  <si>
    <t xml:space="preserve">TC-UI-043</t>
  </si>
  <si>
    <t xml:space="preserve">Filter fields are aligned</t>
  </si>
  <si>
    <t xml:space="preserve">Open All products at 1366 px. Measure every field in the filter panel (search, category, min price, max price, availability) and the Apply button</t>
  </si>
  <si>
    <t xml:space="preserve">All fields are the same height. Search, category, availability and Apply share the same left and right edges. Min and max price sit on one row, are the same width, and together span the same edges</t>
  </si>
  <si>
    <t xml:space="preserve">test_cases_ui.py::test_ui_043</t>
  </si>
  <si>
    <t xml:space="preserve">TC-UI-044</t>
  </si>
  <si>
    <t xml:space="preserve">Price range filter and quick price buttons</t>
  </si>
  <si>
    <t xml:space="preserve">1. Min 500, Max 1000, Apply
2. Min 2000, Max 100, Apply
3. Clear, click 'Under ₹500'
4. Click 'Under ₹500' again
5. Click '₹10,000 +'</t>
  </si>
  <si>
    <t xml:space="preserve">1: 6 products, all priced ₹500 to ₹1,000, address has both values. 2: 'Maximum price cannot be less than the minimum price' under the price fields and results unchanged. 3: 6 products, the button is highlighted, Max shows 499. 4: all 30 products, nothing highlighted. 5: 4 products, Min shows 10000</t>
  </si>
  <si>
    <t xml:space="preserve">test_cases_ui.py::test_ui_044</t>
  </si>
  <si>
    <t xml:space="preserve">TC-UI-045</t>
  </si>
  <si>
    <t xml:space="preserve">Dropdown filters apply at once, and active filters can be removed one at a time</t>
  </si>
  <si>
    <t xml:space="preserve">On All products choose Category Sports (no Apply click), then Sort 'Price: low to high', then set Max 2000 and Apply. Remove the price tag, then the category tag</t>
  </si>
  <si>
    <t xml:space="preserve">Choosing Sports shows 5 products straight away and a 'Sports' tag. Sorting reorders at once and keeps the category. With Max 2000: 3 products and tags 'Sports' and 'Up to ₹2,000'. Removing the price tag: 5 products, still sorted. Removing the category tag: 30 products and no tags; 'Clear all' is hidden</t>
  </si>
  <si>
    <t xml:space="preserve">test_cases_ui.py::test_ui_045</t>
  </si>
  <si>
    <t xml:space="preserve">TC-UI-046</t>
  </si>
  <si>
    <t xml:space="preserve">Filters on a phone</t>
  </si>
  <si>
    <t xml:space="preserve">At 375 px width open All products, tap 'Show / hide', choose Availability 'Out of stock'</t>
  </si>
  <si>
    <t xml:space="preserve">The panel starts collapsed so products are visible first; the button opens it; choosing a filter shows 1 product with an 'Out of stock' tag, and the panel stays open. Nothing scrolls sideways</t>
  </si>
  <si>
    <t xml:space="preserve">test_cases_ui.py::test_ui_046</t>
  </si>
  <si>
    <t xml:space="preserve">TC-UI-047</t>
  </si>
  <si>
    <t xml:space="preserve">A field is checked as soon as the customer leaves it</t>
  </si>
  <si>
    <t xml:space="preserve">On Login: type 'alice@' in the email and press Tab. Correct it to 'alice@example.com'. Click into the password field and out again without typing. Click Login with both fields empty</t>
  </si>
  <si>
    <t xml:space="preserve">Leaving the email shows 'Enter a valid email address, like name@example.com' under it with a red border; the message disappears while the address is corrected. An untouched empty field shows nothing until Login is clicked; then 'Enter your email address' and 'Enter your password' appear under their fields</t>
  </si>
  <si>
    <t xml:space="preserve">test_cases_ui.py::test_ui_047</t>
  </si>
  <si>
    <t xml:space="preserve">TC-UI-048</t>
  </si>
  <si>
    <t xml:space="preserve">Quantity on the product page is checked at the field</t>
  </si>
  <si>
    <t xml:space="preserve">Logged in, open product 10 (2 in stock). Add with quantity 0, then empty, then 1.5, then 5, then 2</t>
  </si>
  <si>
    <t xml:space="preserve">'Quantity must be at least 1', 'Enter a quantity', 'Quantity must be a whole number', then 'Only 2 in stock', each under the quantity field with nothing added to the cart. Quantity 2 is added: badge shows 2, 'Added to cart.' appears and the field message is gone</t>
  </si>
  <si>
    <t xml:space="preserve">test_cases_ui.py::test_ui_048</t>
  </si>
  <si>
    <t xml:space="preserve">TC-UI-049</t>
  </si>
  <si>
    <t xml:space="preserve">Sign-up rules are reported one field at a time with the right wording</t>
  </si>
  <si>
    <t xml:space="preserve">On Sign Up enter, leaving each field with Tab: name of spaces only; email 'a@b'; password of 8 spaces; confirm 'different'. Then change the password to 'Abcdef12' and the confirm to 'Abcdef12'</t>
  </si>
  <si>
    <t xml:space="preserve">Name: 'Enter your full name'. Email: 'Enter a valid email address, like name@example.com'. Password: 'Password cannot be only spaces'. Confirm: 'Passwords do not match'. After the password and confirm are corrected both messages disappear</t>
  </si>
  <si>
    <t xml:space="preserve">test_cases_ui.py::test_ui_049</t>
  </si>
  <si>
    <t xml:space="preserve">TC-UI-050</t>
  </si>
  <si>
    <t xml:space="preserve">Filter price fields are checked at the field</t>
  </si>
  <si>
    <t xml:space="preserve">On All products: Min 800, Max 300, Apply. Then change Min to 100</t>
  </si>
  <si>
    <t xml:space="preserve">'Maximum price cannot be less than the minimum price' under the price fields and results stay at 30. After Min becomes 100 the message disappears; Apply then shows the 2 products priced ₹100 to ₹300</t>
  </si>
  <si>
    <t xml:space="preserve">test_cases_ui.py::test_ui_050</t>
  </si>
  <si>
    <t xml:space="preserve">TC-UI-051</t>
  </si>
  <si>
    <t xml:space="preserve">The first click on a submit button is never lost</t>
  </si>
  <si>
    <t xml:space="preserve">On Sign Up type 'sangamesh@' as the email and 'abc' as the password, then click Create Account with the mouse while the cursor is still in the password field. On Login type 'alice@' and click Login the same way</t>
  </si>
  <si>
    <t xml:space="preserve">The single click submits the form: all four sign-up fields show their messages (name, email, password, confirm). On Login both fields show a message. A message appearing under the field being left must not move the button away from the click</t>
  </si>
  <si>
    <t xml:space="preserve">test_cases_ui.py::test_ui_051</t>
  </si>
  <si>
    <t xml:space="preserve">TC-UI-052</t>
  </si>
  <si>
    <t xml:space="preserve">Pages load without console errors or failed requests</t>
  </si>
  <si>
    <t xml:space="preserve">Open the home page, a category page, a product page, the login page and the sign-up page, watching the browser console and network</t>
  </si>
  <si>
    <t xml:space="preserve">No console errors and no failed requests on any of them. The tab shows the shop's icon and GET /favicon.ico returns 200</t>
  </si>
  <si>
    <t xml:space="preserve">test_cases_ui.py::test_ui_052</t>
  </si>
  <si>
    <t xml:space="preserve">Defect</t>
  </si>
  <si>
    <t xml:space="preserve">Found by</t>
  </si>
  <si>
    <t xml:space="preserve">Severity</t>
  </si>
  <si>
    <t xml:space="preserve">Summary</t>
  </si>
  <si>
    <t xml:space="preserve">What happens</t>
  </si>
  <si>
    <t xml:space="preserve">Fix applied</t>
  </si>
  <si>
    <t xml:space="preserve">DEF-01</t>
  </si>
  <si>
    <t xml:space="preserve">High</t>
  </si>
  <si>
    <t xml:space="preserve">A session can never be ended on the server</t>
  </si>
  <si>
    <t xml:space="preserve">There is no logout endpoint. The web page only forgets the token; a copied token keeps working forever.</t>
  </si>
  <si>
    <t xml:space="preserve">Added POST /auth/logout, which deletes the token; the Log out button calls it.</t>
  </si>
  <si>
    <t xml:space="preserve">Fixed, retested</t>
  </si>
  <si>
    <t xml:space="preserve">DEF-02</t>
  </si>
  <si>
    <t xml:space="preserve">Anyone can wipe all data</t>
  </si>
  <si>
    <t xml:space="preserve">POST /test/reset needs no login. Built this way on purpose for a test target and documented in the README, but it must never be reachable outside your own machine.</t>
  </si>
  <si>
    <t xml:space="preserve">Reset now needs an X-Reset-Key header (RESET_KEY setting, default 'practice-reset'). Change the key if others can reach the server.</t>
  </si>
  <si>
    <t xml:space="preserve">DEF-03</t>
  </si>
  <si>
    <t xml:space="preserve">Medium</t>
  </si>
  <si>
    <t xml:space="preserve">Validation</t>
  </si>
  <si>
    <t xml:space="preserve">Password of 8 spaces is accepted</t>
  </si>
  <si>
    <t xml:space="preserve">Registration only checks length, so a blank password creates an account. The sign-up page rates such passwords Weak but does not block them.</t>
  </si>
  <si>
    <t xml:space="preserve">Server rejects passwords made only of spaces. Weak but non-blank passwords are still accepted.</t>
  </si>
  <si>
    <t xml:space="preserve">DEF-04</t>
  </si>
  <si>
    <t xml:space="preserve">Name made only of spaces is accepted</t>
  </si>
  <si>
    <t xml:space="preserve">Registration creates an account whose name shows as blank in the header.</t>
  </si>
  <si>
    <t xml:space="preserve">Server trims the name and rejects blank names.</t>
  </si>
  <si>
    <t xml:space="preserve">DEF-05</t>
  </si>
  <si>
    <t xml:space="preserve">Search</t>
  </si>
  <si>
    <t xml:space="preserve">% and _ in search act as wildcards</t>
  </si>
  <si>
    <t xml:space="preserve">Searching for % or _ returns all 30 products instead of none. Not a security hole (the query is parameterised) but the result is wrong.</t>
  </si>
  <si>
    <t xml:space="preserve">% and _ are escaped, so they are searched for literally.</t>
  </si>
  <si>
    <t xml:space="preserve">DEF-06</t>
  </si>
  <si>
    <t xml:space="preserve">Usability</t>
  </si>
  <si>
    <t xml:space="preserve">Sign-up shows technical validation text</t>
  </si>
  <si>
    <t xml:space="preserve">Submitting the empty form shows: email: String should match pattern '^[^@\s]+@...'; name: String should have at least 1 character; ...</t>
  </si>
  <si>
    <t xml:space="preserve">The page validates sign-up, login, card number and quantity itself and shows plain messages.</t>
  </si>
  <si>
    <t xml:space="preserve">DEF-07</t>
  </si>
  <si>
    <t xml:space="preserve">Functional</t>
  </si>
  <si>
    <t xml:space="preserve">Applied coupon is lost on page refresh</t>
  </si>
  <si>
    <t xml:space="preserve">After reload the discount disappears with no message, so a shopper can pay full price without noticing.</t>
  </si>
  <si>
    <t xml:space="preserve">The applied coupon is remembered in the browser until removed, used, or logout.</t>
  </si>
  <si>
    <t xml:space="preserve">DEF-08</t>
  </si>
  <si>
    <t xml:space="preserve">Testability</t>
  </si>
  <si>
    <t xml:space="preserve">Two controls share the id cat-home</t>
  </si>
  <si>
    <t xml:space="preserve">The 'For You' tab and the 'Home' category tab both have data-testid="cat-home", so automation cannot address either one reliably.</t>
  </si>
  <si>
    <t xml:space="preserve">The 'For You' tab id is now cat-for-you.</t>
  </si>
  <si>
    <t xml:space="preserve">DEF-09</t>
  </si>
  <si>
    <t xml:space="preserve">Low</t>
  </si>
  <si>
    <t xml:space="preserve">API search does not trim spaces</t>
  </si>
  <si>
    <t xml:space="preserve">GET /products?q=' shoes ' returns nothing. The web page trims the text first, so only direct API users see it.</t>
  </si>
  <si>
    <t xml:space="preserve">Server trims the search text.</t>
  </si>
  <si>
    <t xml:space="preserve">DEF-10</t>
  </si>
  <si>
    <t xml:space="preserve">Coupon is reported valid on an empty cart</t>
  </si>
  <si>
    <t xml:space="preserve">Validating WELCOME10 with nothing in the cart returns 200 with discount 0. Expected behaviour is a judgement call; raise with the product owner.</t>
  </si>
  <si>
    <t xml:space="preserve">Validating a coupon on an empty cart returns 400 'Cart is empty'.</t>
  </si>
  <si>
    <t xml:space="preserve">DEF-11</t>
  </si>
  <si>
    <t xml:space="preserve">Browser tab title never changes</t>
  </si>
  <si>
    <t xml:space="preserve">Every page is titled 'Practice Shop', so tabs, bookmarks and history entries look identical. Expected behaviour is a judgement call.</t>
  </si>
  <si>
    <t xml:space="preserve">The tab title now names the page, for example 'Smartphone X1 – Practice Shop'.</t>
  </si>
  <si>
    <t xml:space="preserve">DEF-12</t>
  </si>
  <si>
    <t xml:space="preserve">Two simultaneous checkouts of one cart created two orders</t>
  </si>
  <si>
    <t xml:space="preserve">Sending several checkout requests for the same user at once produced 2 orders and took stock twice. Found in the fix round; the first run only tested checkouts one after another.</t>
  </si>
  <si>
    <t xml:space="preserve">Checkout now claims the cart rows first; a second request finds them gone and gets 409.</t>
  </si>
  <si>
    <t xml:space="preserve">DEF-13</t>
  </si>
  <si>
    <t xml:space="preserve">Robustness</t>
  </si>
  <si>
    <t xml:space="preserve">Very large numbers crashed the server (HTTP 500)</t>
  </si>
  <si>
    <t xml:space="preserve">An id or price such as 10^30 in the address or request body caused a server error on 8 endpoints.</t>
  </si>
  <si>
    <t xml:space="preserve">Ids, prices and quantities are limited to 2,147,483,647; larger values get 422.</t>
  </si>
  <si>
    <t xml:space="preserve">DEF-14</t>
  </si>
  <si>
    <t xml:space="preserve">Card number in non-ASCII digits was accepted</t>
  </si>
  <si>
    <t xml:space="preserve">16 Arabic-Indic or full-width digits passed the card check and an order was placed.</t>
  </si>
  <si>
    <t xml:space="preserve">Card number must be 16 of the digits 0 to 9.</t>
  </si>
  <si>
    <t xml:space="preserve">DEF-15</t>
  </si>
  <si>
    <t xml:space="preserve">Malformed email domains were accepted</t>
  </si>
  <si>
    <t xml:space="preserve">Addresses such as a@b..c and a@.com could register.</t>
  </si>
  <si>
    <t xml:space="preserve">Stricter email pattern on the server and the sign-up page.</t>
  </si>
</sst>
</file>

<file path=xl/styles.xml><?xml version="1.0" encoding="utf-8"?>
<styleSheet xmlns="http://schemas.openxmlformats.org/spreadsheetml/2006/main">
  <numFmts count="2">
    <numFmt numFmtId="164" formatCode="General"/>
    <numFmt numFmtId="165" formatCode="0%"/>
  </numFmts>
  <fonts count="10">
    <font>
      <sz val="11"/>
      <color theme="1"/>
      <name val="Calibri"/>
      <family val="2"/>
      <charset val="1"/>
    </font>
    <font>
      <sz val="10"/>
      <name val="Arial"/>
      <family val="0"/>
    </font>
    <font>
      <sz val="10"/>
      <name val="Arial"/>
      <family val="0"/>
    </font>
    <font>
      <sz val="10"/>
      <name val="Arial"/>
      <family val="0"/>
    </font>
    <font>
      <b val="true"/>
      <sz val="16"/>
      <name val="Arial"/>
      <family val="0"/>
      <charset val="1"/>
    </font>
    <font>
      <sz val="10"/>
      <color rgb="FF555555"/>
      <name val="Arial"/>
      <family val="0"/>
      <charset val="1"/>
    </font>
    <font>
      <b val="true"/>
      <sz val="10"/>
      <color rgb="FFFFFFFF"/>
      <name val="Arial"/>
      <family val="0"/>
      <charset val="1"/>
    </font>
    <font>
      <sz val="10"/>
      <name val="Arial"/>
      <family val="0"/>
      <charset val="1"/>
    </font>
    <font>
      <b val="true"/>
      <sz val="10"/>
      <name val="Arial"/>
      <family val="0"/>
      <charset val="1"/>
    </font>
    <font>
      <b val="true"/>
      <sz val="11"/>
      <name val="Arial"/>
      <family val="0"/>
      <charset val="1"/>
    </font>
  </fonts>
  <fills count="3">
    <fill>
      <patternFill patternType="none"/>
    </fill>
    <fill>
      <patternFill patternType="gray125"/>
    </fill>
    <fill>
      <patternFill patternType="solid">
        <fgColor rgb="FF1F3A8A"/>
        <bgColor rgb="FF003366"/>
      </patternFill>
    </fill>
  </fills>
  <borders count="2">
    <border diagonalUp="false" diagonalDown="false">
      <left/>
      <right/>
      <top/>
      <bottom/>
      <diagonal/>
    </border>
    <border diagonalUp="false" diagonalDown="false">
      <left style="thin">
        <color rgb="FFD0D5DD"/>
      </left>
      <right style="thin">
        <color rgb="FFD0D5DD"/>
      </right>
      <top style="thin">
        <color rgb="FFD0D5DD"/>
      </top>
      <bottom style="thin">
        <color rgb="FFD0D5DD"/>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2" borderId="1" xfId="0" applyFont="tru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5" fontId="7" fillId="0" borderId="1" xfId="0" applyFont="true" applyBorder="true" applyAlignment="false" applyProtection="false">
      <alignment horizontal="general" vertical="bottom" textRotation="0" wrapText="false" indent="0" shrinkToFit="false"/>
      <protection locked="true" hidden="false"/>
    </xf>
    <xf numFmtId="164" fontId="8" fillId="0" borderId="1" xfId="0" applyFont="true" applyBorder="true" applyAlignment="false" applyProtection="false">
      <alignment horizontal="general" vertical="bottom" textRotation="0" wrapText="false" indent="0" shrinkToFit="false"/>
      <protection locked="true" hidden="false"/>
    </xf>
    <xf numFmtId="165" fontId="8" fillId="0" borderId="1" xfId="0" applyFont="true" applyBorder="tru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general" vertical="center"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9">
    <dxf>
      <fill>
        <patternFill patternType="solid">
          <fgColor rgb="FF1F3A8A"/>
          <bgColor rgb="FF000000"/>
        </patternFill>
      </fill>
    </dxf>
    <dxf>
      <fill>
        <patternFill patternType="solid">
          <bgColor rgb="FF000000"/>
        </patternFill>
      </fill>
    </dxf>
    <dxf>
      <fill>
        <patternFill patternType="solid">
          <fgColor rgb="FFFFFFFF"/>
          <bgColor rgb="FF000000"/>
        </patternFill>
      </fill>
    </dxf>
    <dxf>
      <fill>
        <patternFill patternType="solid">
          <fgColor rgb="FFC6EFCE"/>
          <bgColor rgb="FF000000"/>
        </patternFill>
      </fill>
    </dxf>
    <dxf>
      <fill>
        <patternFill>
          <bgColor rgb="FFC6EFCE"/>
        </patternFill>
      </fill>
    </dxf>
    <dxf>
      <fill>
        <patternFill>
          <bgColor rgb="FFFFC7CE"/>
        </patternFill>
      </fill>
    </dxf>
    <dxf>
      <fill>
        <patternFill>
          <bgColor rgb="FFFFEB9C"/>
        </patternFill>
      </fill>
    </dxf>
    <dxf>
      <fill>
        <patternFill patternType="solid">
          <fgColor rgb="FFFFC7CE"/>
          <bgColor rgb="FF000000"/>
        </patternFill>
      </fill>
    </dxf>
    <dxf>
      <fill>
        <patternFill patternType="solid">
          <fgColor rgb="FFFFEB9C"/>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D0D5DD"/>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FC7CE"/>
      <rgbColor rgb="FF3366FF"/>
      <rgbColor rgb="FF33CCCC"/>
      <rgbColor rgb="FF99CC00"/>
      <rgbColor rgb="FFFFCC00"/>
      <rgbColor rgb="FFFF9900"/>
      <rgbColor rgb="FFFF6600"/>
      <rgbColor rgb="FF555555"/>
      <rgbColor rgb="FF969696"/>
      <rgbColor rgb="FF003366"/>
      <rgbColor rgb="FF339966"/>
      <rgbColor rgb="FF003300"/>
      <rgbColor rgb="FF333300"/>
      <rgbColor rgb="FF993300"/>
      <rgbColor rgb="FF993366"/>
      <rgbColor rgb="FF1F3A8A"/>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3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6" min="2" style="0" width="16"/>
  </cols>
  <sheetData>
    <row r="1" customFormat="false" ht="19.7" hidden="false" customHeight="false" outlineLevel="0" collapsed="false">
      <c r="A1" s="1" t="s">
        <v>0</v>
      </c>
    </row>
    <row r="2" customFormat="false" ht="15" hidden="false" customHeight="false" outlineLevel="0" collapsed="false">
      <c r="A2" s="2" t="s">
        <v>1</v>
      </c>
    </row>
    <row r="3" customFormat="false" ht="15" hidden="false" customHeight="false" outlineLevel="0" collapsed="false">
      <c r="A3" s="2" t="s">
        <v>2</v>
      </c>
    </row>
    <row r="5" customFormat="false" ht="15" hidden="false" customHeight="false" outlineLevel="0" collapsed="false">
      <c r="A5" s="3" t="s">
        <v>3</v>
      </c>
      <c r="B5" s="3" t="s">
        <v>4</v>
      </c>
      <c r="C5" s="3" t="s">
        <v>5</v>
      </c>
      <c r="D5" s="3" t="s">
        <v>6</v>
      </c>
      <c r="E5" s="3" t="s">
        <v>7</v>
      </c>
      <c r="F5" s="3" t="s">
        <v>8</v>
      </c>
    </row>
    <row r="6" customFormat="false" ht="15" hidden="false" customHeight="false" outlineLevel="0" collapsed="false">
      <c r="A6" s="4" t="s">
        <v>9</v>
      </c>
      <c r="B6" s="4" t="n">
        <f aca="false">COUNTIF('Test cases'!$B$2:$B$129,$A6)</f>
        <v>13</v>
      </c>
      <c r="C6" s="4" t="n">
        <f aca="false">COUNTIFS('Test cases'!$B$2:$B$129,$A6,'Test cases'!$H$2:$H$129,"Pass")</f>
        <v>13</v>
      </c>
      <c r="D6" s="4" t="n">
        <f aca="false">COUNTIFS('Test cases'!$B$2:$B$129,$A6,'Test cases'!$H$2:$H$129,"Fail")</f>
        <v>0</v>
      </c>
      <c r="E6" s="4" t="n">
        <f aca="false">B6-C6-D6</f>
        <v>0</v>
      </c>
      <c r="F6" s="5" t="n">
        <f aca="false">IF(B6=0,0,C6/B6)</f>
        <v>1</v>
      </c>
    </row>
    <row r="7" customFormat="false" ht="15" hidden="false" customHeight="false" outlineLevel="0" collapsed="false">
      <c r="A7" s="4" t="s">
        <v>10</v>
      </c>
      <c r="B7" s="4" t="n">
        <f aca="false">COUNTIF('Test cases'!$B$2:$B$129,$A7)</f>
        <v>11</v>
      </c>
      <c r="C7" s="4" t="n">
        <f aca="false">COUNTIFS('Test cases'!$B$2:$B$129,$A7,'Test cases'!$H$2:$H$129,"Pass")</f>
        <v>11</v>
      </c>
      <c r="D7" s="4" t="n">
        <f aca="false">COUNTIFS('Test cases'!$B$2:$B$129,$A7,'Test cases'!$H$2:$H$129,"Fail")</f>
        <v>0</v>
      </c>
      <c r="E7" s="4" t="n">
        <f aca="false">B7-C7-D7</f>
        <v>0</v>
      </c>
      <c r="F7" s="5" t="n">
        <f aca="false">IF(B7=0,0,C7/B7)</f>
        <v>1</v>
      </c>
    </row>
    <row r="8" customFormat="false" ht="15" hidden="false" customHeight="false" outlineLevel="0" collapsed="false">
      <c r="A8" s="4" t="s">
        <v>11</v>
      </c>
      <c r="B8" s="4" t="n">
        <f aca="false">COUNTIF('Test cases'!$B$2:$B$129,$A8)</f>
        <v>15</v>
      </c>
      <c r="C8" s="4" t="n">
        <f aca="false">COUNTIFS('Test cases'!$B$2:$B$129,$A8,'Test cases'!$H$2:$H$129,"Pass")</f>
        <v>15</v>
      </c>
      <c r="D8" s="4" t="n">
        <f aca="false">COUNTIFS('Test cases'!$B$2:$B$129,$A8,'Test cases'!$H$2:$H$129,"Fail")</f>
        <v>0</v>
      </c>
      <c r="E8" s="4" t="n">
        <f aca="false">B8-C8-D8</f>
        <v>0</v>
      </c>
      <c r="F8" s="5" t="n">
        <f aca="false">IF(B8=0,0,C8/B8)</f>
        <v>1</v>
      </c>
    </row>
    <row r="9" customFormat="false" ht="15" hidden="false" customHeight="false" outlineLevel="0" collapsed="false">
      <c r="A9" s="4" t="s">
        <v>12</v>
      </c>
      <c r="B9" s="4" t="n">
        <f aca="false">COUNTIF('Test cases'!$B$2:$B$129,$A9)</f>
        <v>6</v>
      </c>
      <c r="C9" s="4" t="n">
        <f aca="false">COUNTIFS('Test cases'!$B$2:$B$129,$A9,'Test cases'!$H$2:$H$129,"Pass")</f>
        <v>6</v>
      </c>
      <c r="D9" s="4" t="n">
        <f aca="false">COUNTIFS('Test cases'!$B$2:$B$129,$A9,'Test cases'!$H$2:$H$129,"Fail")</f>
        <v>0</v>
      </c>
      <c r="E9" s="4" t="n">
        <f aca="false">B9-C9-D9</f>
        <v>0</v>
      </c>
      <c r="F9" s="5" t="n">
        <f aca="false">IF(B9=0,0,C9/B9)</f>
        <v>1</v>
      </c>
    </row>
    <row r="10" customFormat="false" ht="15" hidden="false" customHeight="false" outlineLevel="0" collapsed="false">
      <c r="A10" s="4" t="s">
        <v>13</v>
      </c>
      <c r="B10" s="4" t="n">
        <f aca="false">COUNTIF('Test cases'!$B$2:$B$129,$A10)</f>
        <v>8</v>
      </c>
      <c r="C10" s="4" t="n">
        <f aca="false">COUNTIFS('Test cases'!$B$2:$B$129,$A10,'Test cases'!$H$2:$H$129,"Pass")</f>
        <v>8</v>
      </c>
      <c r="D10" s="4" t="n">
        <f aca="false">COUNTIFS('Test cases'!$B$2:$B$129,$A10,'Test cases'!$H$2:$H$129,"Fail")</f>
        <v>0</v>
      </c>
      <c r="E10" s="4" t="n">
        <f aca="false">B10-C10-D10</f>
        <v>0</v>
      </c>
      <c r="F10" s="5" t="n">
        <f aca="false">IF(B10=0,0,C10/B10)</f>
        <v>1</v>
      </c>
    </row>
    <row r="11" customFormat="false" ht="15" hidden="false" customHeight="false" outlineLevel="0" collapsed="false">
      <c r="A11" s="4" t="s">
        <v>14</v>
      </c>
      <c r="B11" s="4" t="n">
        <f aca="false">COUNTIF('Test cases'!$B$2:$B$129,$A11)</f>
        <v>17</v>
      </c>
      <c r="C11" s="4" t="n">
        <f aca="false">COUNTIFS('Test cases'!$B$2:$B$129,$A11,'Test cases'!$H$2:$H$129,"Pass")</f>
        <v>17</v>
      </c>
      <c r="D11" s="4" t="n">
        <f aca="false">COUNTIFS('Test cases'!$B$2:$B$129,$A11,'Test cases'!$H$2:$H$129,"Fail")</f>
        <v>0</v>
      </c>
      <c r="E11" s="4" t="n">
        <f aca="false">B11-C11-D11</f>
        <v>0</v>
      </c>
      <c r="F11" s="5" t="n">
        <f aca="false">IF(B11=0,0,C11/B11)</f>
        <v>1</v>
      </c>
    </row>
    <row r="12" customFormat="false" ht="15" hidden="false" customHeight="false" outlineLevel="0" collapsed="false">
      <c r="A12" s="4" t="s">
        <v>15</v>
      </c>
      <c r="B12" s="4" t="n">
        <f aca="false">COUNTIF('Test cases'!$B$2:$B$129,$A12)</f>
        <v>4</v>
      </c>
      <c r="C12" s="4" t="n">
        <f aca="false">COUNTIFS('Test cases'!$B$2:$B$129,$A12,'Test cases'!$H$2:$H$129,"Pass")</f>
        <v>4</v>
      </c>
      <c r="D12" s="4" t="n">
        <f aca="false">COUNTIFS('Test cases'!$B$2:$B$129,$A12,'Test cases'!$H$2:$H$129,"Fail")</f>
        <v>0</v>
      </c>
      <c r="E12" s="4" t="n">
        <f aca="false">B12-C12-D12</f>
        <v>0</v>
      </c>
      <c r="F12" s="5" t="n">
        <f aca="false">IF(B12=0,0,C12/B12)</f>
        <v>1</v>
      </c>
    </row>
    <row r="13" customFormat="false" ht="15" hidden="false" customHeight="false" outlineLevel="0" collapsed="false">
      <c r="A13" s="4" t="s">
        <v>16</v>
      </c>
      <c r="B13" s="4" t="n">
        <f aca="false">COUNTIF('Test cases'!$B$2:$B$129,$A13)</f>
        <v>2</v>
      </c>
      <c r="C13" s="4" t="n">
        <f aca="false">COUNTIFS('Test cases'!$B$2:$B$129,$A13,'Test cases'!$H$2:$H$129,"Pass")</f>
        <v>2</v>
      </c>
      <c r="D13" s="4" t="n">
        <f aca="false">COUNTIFS('Test cases'!$B$2:$B$129,$A13,'Test cases'!$H$2:$H$129,"Fail")</f>
        <v>0</v>
      </c>
      <c r="E13" s="4" t="n">
        <f aca="false">B13-C13-D13</f>
        <v>0</v>
      </c>
      <c r="F13" s="5" t="n">
        <f aca="false">IF(B13=0,0,C13/B13)</f>
        <v>1</v>
      </c>
    </row>
    <row r="14" customFormat="false" ht="15" hidden="false" customHeight="false" outlineLevel="0" collapsed="false">
      <c r="A14" s="4" t="s">
        <v>17</v>
      </c>
      <c r="B14" s="4" t="n">
        <f aca="false">COUNTIF('Test cases'!$B$2:$B$129,$A14)</f>
        <v>52</v>
      </c>
      <c r="C14" s="4" t="n">
        <f aca="false">COUNTIFS('Test cases'!$B$2:$B$129,$A14,'Test cases'!$H$2:$H$129,"Pass")</f>
        <v>52</v>
      </c>
      <c r="D14" s="4" t="n">
        <f aca="false">COUNTIFS('Test cases'!$B$2:$B$129,$A14,'Test cases'!$H$2:$H$129,"Fail")</f>
        <v>0</v>
      </c>
      <c r="E14" s="4" t="n">
        <f aca="false">B14-C14-D14</f>
        <v>0</v>
      </c>
      <c r="F14" s="5" t="n">
        <f aca="false">IF(B14=0,0,C14/B14)</f>
        <v>1</v>
      </c>
    </row>
    <row r="15" customFormat="false" ht="15" hidden="false" customHeight="false" outlineLevel="0" collapsed="false">
      <c r="A15" s="6" t="s">
        <v>18</v>
      </c>
      <c r="B15" s="6" t="n">
        <f aca="false">SUM(B6:B14)</f>
        <v>128</v>
      </c>
      <c r="C15" s="6" t="n">
        <f aca="false">SUM(C6:C14)</f>
        <v>128</v>
      </c>
      <c r="D15" s="6" t="n">
        <f aca="false">SUM(D6:D14)</f>
        <v>0</v>
      </c>
      <c r="E15" s="6" t="n">
        <f aca="false">SUM(E6:E14)</f>
        <v>0</v>
      </c>
      <c r="F15" s="7" t="n">
        <f aca="false">IF(B15=0,0,C15/B15)</f>
        <v>1</v>
      </c>
    </row>
    <row r="17" customFormat="false" ht="15" hidden="false" customHeight="false" outlineLevel="0" collapsed="false">
      <c r="A17" s="3" t="s">
        <v>19</v>
      </c>
      <c r="B17" s="3" t="s">
        <v>4</v>
      </c>
      <c r="C17" s="3" t="s">
        <v>5</v>
      </c>
      <c r="D17" s="3" t="s">
        <v>6</v>
      </c>
      <c r="E17" s="3" t="s">
        <v>7</v>
      </c>
      <c r="F17" s="3" t="s">
        <v>8</v>
      </c>
    </row>
    <row r="18" customFormat="false" ht="15" hidden="false" customHeight="false" outlineLevel="0" collapsed="false">
      <c r="A18" s="4" t="s">
        <v>20</v>
      </c>
      <c r="B18" s="4" t="n">
        <f aca="false">COUNTIF('Test cases'!$D$2:$D$129,$A18)</f>
        <v>70</v>
      </c>
      <c r="C18" s="4" t="n">
        <f aca="false">COUNTIFS('Test cases'!$D$2:$D$129,$A18,'Test cases'!$H$2:$H$129,"Pass")</f>
        <v>70</v>
      </c>
      <c r="D18" s="4" t="n">
        <f aca="false">COUNTIFS('Test cases'!$D$2:$D$129,$A18,'Test cases'!$H$2:$H$129,"Fail")</f>
        <v>0</v>
      </c>
      <c r="E18" s="4" t="n">
        <f aca="false">B18-C18-D18</f>
        <v>0</v>
      </c>
      <c r="F18" s="5" t="n">
        <f aca="false">IF(B18=0,0,C18/B18)</f>
        <v>1</v>
      </c>
    </row>
    <row r="19" customFormat="false" ht="15" hidden="false" customHeight="false" outlineLevel="0" collapsed="false">
      <c r="A19" s="4" t="s">
        <v>21</v>
      </c>
      <c r="B19" s="4" t="n">
        <f aca="false">COUNTIF('Test cases'!$D$2:$D$129,$A19)</f>
        <v>55</v>
      </c>
      <c r="C19" s="4" t="n">
        <f aca="false">COUNTIFS('Test cases'!$D$2:$D$129,$A19,'Test cases'!$H$2:$H$129,"Pass")</f>
        <v>55</v>
      </c>
      <c r="D19" s="4" t="n">
        <f aca="false">COUNTIFS('Test cases'!$D$2:$D$129,$A19,'Test cases'!$H$2:$H$129,"Fail")</f>
        <v>0</v>
      </c>
      <c r="E19" s="4" t="n">
        <f aca="false">B19-C19-D19</f>
        <v>0</v>
      </c>
      <c r="F19" s="5" t="n">
        <f aca="false">IF(B19=0,0,C19/B19)</f>
        <v>1</v>
      </c>
    </row>
    <row r="20" customFormat="false" ht="15" hidden="false" customHeight="false" outlineLevel="0" collapsed="false">
      <c r="A20" s="4" t="s">
        <v>22</v>
      </c>
      <c r="B20" s="4" t="n">
        <f aca="false">COUNTIF('Test cases'!$D$2:$D$129,$A20)</f>
        <v>3</v>
      </c>
      <c r="C20" s="4" t="n">
        <f aca="false">COUNTIFS('Test cases'!$D$2:$D$129,$A20,'Test cases'!$H$2:$H$129,"Pass")</f>
        <v>3</v>
      </c>
      <c r="D20" s="4" t="n">
        <f aca="false">COUNTIFS('Test cases'!$D$2:$D$129,$A20,'Test cases'!$H$2:$H$129,"Fail")</f>
        <v>0</v>
      </c>
      <c r="E20" s="4" t="n">
        <f aca="false">B20-C20-D20</f>
        <v>0</v>
      </c>
      <c r="F20" s="5" t="n">
        <f aca="false">IF(B20=0,0,C20/B20)</f>
        <v>1</v>
      </c>
    </row>
    <row r="21" customFormat="false" ht="15" hidden="false" customHeight="false" outlineLevel="0" collapsed="false">
      <c r="A21" s="6" t="s">
        <v>18</v>
      </c>
      <c r="B21" s="6" t="n">
        <f aca="false">SUM(B18:B20)</f>
        <v>128</v>
      </c>
      <c r="C21" s="6" t="n">
        <f aca="false">SUM(C18:C20)</f>
        <v>128</v>
      </c>
      <c r="D21" s="6" t="n">
        <f aca="false">SUM(D18:D20)</f>
        <v>0</v>
      </c>
      <c r="E21" s="6" t="n">
        <f aca="false">SUM(E18:E20)</f>
        <v>0</v>
      </c>
      <c r="F21" s="7" t="n">
        <f aca="false">IF(B21=0,0,C21/B21)</f>
        <v>1</v>
      </c>
    </row>
    <row r="23" customFormat="false" ht="15" hidden="false" customHeight="false" outlineLevel="0" collapsed="false">
      <c r="A23" s="3" t="s">
        <v>23</v>
      </c>
      <c r="B23" s="3" t="s">
        <v>4</v>
      </c>
      <c r="C23" s="3" t="s">
        <v>5</v>
      </c>
      <c r="D23" s="3" t="s">
        <v>6</v>
      </c>
      <c r="E23" s="3" t="s">
        <v>7</v>
      </c>
      <c r="F23" s="3" t="s">
        <v>8</v>
      </c>
    </row>
    <row r="24" customFormat="false" ht="15" hidden="false" customHeight="false" outlineLevel="0" collapsed="false">
      <c r="A24" s="4" t="s">
        <v>24</v>
      </c>
      <c r="B24" s="4" t="n">
        <f aca="false">COUNTIF('Test cases'!$C$2:$C$129,$A24)</f>
        <v>76</v>
      </c>
      <c r="C24" s="4" t="n">
        <f aca="false">COUNTIFS('Test cases'!$C$2:$C$129,$A24,'Test cases'!$H$2:$H$129,"Pass")</f>
        <v>76</v>
      </c>
      <c r="D24" s="4" t="n">
        <f aca="false">COUNTIFS('Test cases'!$C$2:$C$129,$A24,'Test cases'!$H$2:$H$129,"Fail")</f>
        <v>0</v>
      </c>
      <c r="E24" s="4" t="n">
        <f aca="false">B24-C24-D24</f>
        <v>0</v>
      </c>
      <c r="F24" s="5" t="n">
        <f aca="false">IF(B24=0,0,C24/B24)</f>
        <v>1</v>
      </c>
    </row>
    <row r="25" customFormat="false" ht="15" hidden="false" customHeight="false" outlineLevel="0" collapsed="false">
      <c r="A25" s="4" t="s">
        <v>25</v>
      </c>
      <c r="B25" s="4" t="n">
        <f aca="false">COUNTIF('Test cases'!$C$2:$C$129,$A25)</f>
        <v>52</v>
      </c>
      <c r="C25" s="4" t="n">
        <f aca="false">COUNTIFS('Test cases'!$C$2:$C$129,$A25,'Test cases'!$H$2:$H$129,"Pass")</f>
        <v>52</v>
      </c>
      <c r="D25" s="4" t="n">
        <f aca="false">COUNTIFS('Test cases'!$C$2:$C$129,$A25,'Test cases'!$H$2:$H$129,"Fail")</f>
        <v>0</v>
      </c>
      <c r="E25" s="4" t="n">
        <f aca="false">B25-C25-D25</f>
        <v>0</v>
      </c>
      <c r="F25" s="5" t="n">
        <f aca="false">IF(B25=0,0,C25/B25)</f>
        <v>1</v>
      </c>
    </row>
    <row r="26" customFormat="false" ht="15" hidden="false" customHeight="false" outlineLevel="0" collapsed="false">
      <c r="A26" s="6" t="s">
        <v>18</v>
      </c>
      <c r="B26" s="6" t="n">
        <f aca="false">SUM(B24:B25)</f>
        <v>128</v>
      </c>
      <c r="C26" s="6" t="n">
        <f aca="false">SUM(C24:C25)</f>
        <v>128</v>
      </c>
      <c r="D26" s="6" t="n">
        <f aca="false">SUM(D24:D25)</f>
        <v>0</v>
      </c>
      <c r="E26" s="6" t="n">
        <f aca="false">SUM(E24:E25)</f>
        <v>0</v>
      </c>
      <c r="F26" s="7" t="n">
        <f aca="false">IF(B26=0,0,C26/B26)</f>
        <v>1</v>
      </c>
    </row>
    <row r="28" customFormat="false" ht="15" hidden="false" customHeight="false" outlineLevel="0" collapsed="false">
      <c r="A28" s="8" t="s">
        <v>26</v>
      </c>
    </row>
    <row r="29" customFormat="false" ht="15" hidden="false" customHeight="false" outlineLevel="0" collapsed="false">
      <c r="A29" s="9" t="s">
        <v>27</v>
      </c>
    </row>
    <row r="30" customFormat="false" ht="15" hidden="false" customHeight="false" outlineLevel="0" collapsed="false">
      <c r="A30" s="9" t="s">
        <v>28</v>
      </c>
    </row>
    <row r="31" customFormat="false" ht="15" hidden="false" customHeight="false" outlineLevel="0" collapsed="false">
      <c r="A31" s="9" t="s">
        <v>29</v>
      </c>
    </row>
    <row r="32" customFormat="false" ht="15" hidden="false" customHeight="false" outlineLevel="0" collapsed="false">
      <c r="A32" s="9" t="s">
        <v>30</v>
      </c>
    </row>
    <row r="33" customFormat="false" ht="15" hidden="false" customHeight="false" outlineLevel="0" collapsed="false">
      <c r="A33" s="9" t="s">
        <v>31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2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3"/>
    <col collapsed="false" customWidth="true" hidden="false" outlineLevel="0" max="2" min="2" style="0" width="16"/>
    <col collapsed="false" customWidth="true" hidden="false" outlineLevel="0" max="3" min="3" style="0" width="7"/>
    <col collapsed="false" customWidth="true" hidden="false" outlineLevel="0" max="4" min="4" style="0" width="9"/>
    <col collapsed="false" customWidth="true" hidden="false" outlineLevel="0" max="5" min="5" style="0" width="38"/>
    <col collapsed="false" customWidth="true" hidden="false" outlineLevel="0" max="7" min="6" style="0" width="56"/>
    <col collapsed="false" customWidth="true" hidden="false" outlineLevel="0" max="8" min="8" style="0" width="10"/>
    <col collapsed="false" customWidth="true" hidden="false" outlineLevel="0" max="9" min="9" style="0" width="52"/>
    <col collapsed="false" customWidth="true" hidden="false" outlineLevel="0" max="10" min="10" style="0" width="34"/>
  </cols>
  <sheetData>
    <row r="1" customFormat="false" ht="15" hidden="false" customHeight="false" outlineLevel="0" collapsed="false">
      <c r="A1" s="10" t="s">
        <v>32</v>
      </c>
      <c r="B1" s="10" t="s">
        <v>3</v>
      </c>
      <c r="C1" s="10" t="s">
        <v>23</v>
      </c>
      <c r="D1" s="10" t="s">
        <v>19</v>
      </c>
      <c r="E1" s="10" t="s">
        <v>33</v>
      </c>
      <c r="F1" s="10" t="s">
        <v>34</v>
      </c>
      <c r="G1" s="10" t="s">
        <v>35</v>
      </c>
      <c r="H1" s="10" t="s">
        <v>36</v>
      </c>
      <c r="I1" s="10" t="s">
        <v>37</v>
      </c>
      <c r="J1" s="10" t="s">
        <v>38</v>
      </c>
    </row>
    <row r="2" customFormat="false" ht="23.85" hidden="false" customHeight="false" outlineLevel="0" collapsed="false">
      <c r="A2" s="11" t="s">
        <v>39</v>
      </c>
      <c r="B2" s="11" t="s">
        <v>9</v>
      </c>
      <c r="C2" s="11" t="s">
        <v>24</v>
      </c>
      <c r="D2" s="11" t="s">
        <v>20</v>
      </c>
      <c r="E2" s="11" t="s">
        <v>40</v>
      </c>
      <c r="F2" s="11" t="s">
        <v>41</v>
      </c>
      <c r="G2" s="11" t="s">
        <v>42</v>
      </c>
      <c r="H2" s="11" t="s">
        <v>5</v>
      </c>
      <c r="I2" s="11" t="s">
        <v>43</v>
      </c>
      <c r="J2" s="11" t="s">
        <v>44</v>
      </c>
    </row>
    <row r="3" customFormat="false" ht="23.85" hidden="false" customHeight="false" outlineLevel="0" collapsed="false">
      <c r="A3" s="11" t="s">
        <v>45</v>
      </c>
      <c r="B3" s="11" t="s">
        <v>9</v>
      </c>
      <c r="C3" s="11" t="s">
        <v>24</v>
      </c>
      <c r="D3" s="11" t="s">
        <v>20</v>
      </c>
      <c r="E3" s="11" t="s">
        <v>46</v>
      </c>
      <c r="F3" s="11" t="s">
        <v>47</v>
      </c>
      <c r="G3" s="11" t="s">
        <v>48</v>
      </c>
      <c r="H3" s="11" t="s">
        <v>5</v>
      </c>
      <c r="I3" s="11" t="s">
        <v>43</v>
      </c>
      <c r="J3" s="11" t="s">
        <v>49</v>
      </c>
    </row>
    <row r="4" customFormat="false" ht="15" hidden="false" customHeight="false" outlineLevel="0" collapsed="false">
      <c r="A4" s="11" t="s">
        <v>50</v>
      </c>
      <c r="B4" s="11" t="s">
        <v>9</v>
      </c>
      <c r="C4" s="11" t="s">
        <v>24</v>
      </c>
      <c r="D4" s="11" t="s">
        <v>21</v>
      </c>
      <c r="E4" s="11" t="s">
        <v>51</v>
      </c>
      <c r="F4" s="11" t="s">
        <v>52</v>
      </c>
      <c r="G4" s="11" t="s">
        <v>53</v>
      </c>
      <c r="H4" s="11" t="s">
        <v>5</v>
      </c>
      <c r="I4" s="11" t="s">
        <v>43</v>
      </c>
      <c r="J4" s="11" t="s">
        <v>54</v>
      </c>
    </row>
    <row r="5" customFormat="false" ht="35.05" hidden="false" customHeight="false" outlineLevel="0" collapsed="false">
      <c r="A5" s="11" t="s">
        <v>55</v>
      </c>
      <c r="B5" s="11" t="s">
        <v>9</v>
      </c>
      <c r="C5" s="11" t="s">
        <v>24</v>
      </c>
      <c r="D5" s="11" t="s">
        <v>20</v>
      </c>
      <c r="E5" s="11" t="s">
        <v>56</v>
      </c>
      <c r="F5" s="11" t="s">
        <v>57</v>
      </c>
      <c r="G5" s="11" t="s">
        <v>58</v>
      </c>
      <c r="H5" s="11" t="s">
        <v>5</v>
      </c>
      <c r="I5" s="11" t="s">
        <v>43</v>
      </c>
      <c r="J5" s="11" t="s">
        <v>59</v>
      </c>
    </row>
    <row r="6" customFormat="false" ht="23.85" hidden="false" customHeight="false" outlineLevel="0" collapsed="false">
      <c r="A6" s="11" t="s">
        <v>60</v>
      </c>
      <c r="B6" s="11" t="s">
        <v>9</v>
      </c>
      <c r="C6" s="11" t="s">
        <v>24</v>
      </c>
      <c r="D6" s="11" t="s">
        <v>20</v>
      </c>
      <c r="E6" s="11" t="s">
        <v>61</v>
      </c>
      <c r="F6" s="11" t="s">
        <v>62</v>
      </c>
      <c r="G6" s="11" t="s">
        <v>63</v>
      </c>
      <c r="H6" s="11" t="s">
        <v>5</v>
      </c>
      <c r="I6" s="11" t="s">
        <v>43</v>
      </c>
      <c r="J6" s="11" t="s">
        <v>64</v>
      </c>
    </row>
    <row r="7" customFormat="false" ht="15" hidden="false" customHeight="false" outlineLevel="0" collapsed="false">
      <c r="A7" s="11" t="s">
        <v>65</v>
      </c>
      <c r="B7" s="11" t="s">
        <v>9</v>
      </c>
      <c r="C7" s="11" t="s">
        <v>24</v>
      </c>
      <c r="D7" s="11" t="s">
        <v>21</v>
      </c>
      <c r="E7" s="11" t="s">
        <v>66</v>
      </c>
      <c r="F7" s="11" t="s">
        <v>67</v>
      </c>
      <c r="G7" s="11" t="s">
        <v>68</v>
      </c>
      <c r="H7" s="11" t="s">
        <v>5</v>
      </c>
      <c r="I7" s="11" t="s">
        <v>43</v>
      </c>
      <c r="J7" s="11" t="s">
        <v>69</v>
      </c>
    </row>
    <row r="8" customFormat="false" ht="23.85" hidden="false" customHeight="false" outlineLevel="0" collapsed="false">
      <c r="A8" s="11" t="s">
        <v>70</v>
      </c>
      <c r="B8" s="11" t="s">
        <v>9</v>
      </c>
      <c r="C8" s="11" t="s">
        <v>24</v>
      </c>
      <c r="D8" s="11" t="s">
        <v>21</v>
      </c>
      <c r="E8" s="11" t="s">
        <v>71</v>
      </c>
      <c r="F8" s="11" t="s">
        <v>72</v>
      </c>
      <c r="G8" s="11" t="s">
        <v>73</v>
      </c>
      <c r="H8" s="11" t="s">
        <v>5</v>
      </c>
      <c r="I8" s="11" t="s">
        <v>43</v>
      </c>
      <c r="J8" s="11" t="s">
        <v>74</v>
      </c>
    </row>
    <row r="9" customFormat="false" ht="15" hidden="false" customHeight="false" outlineLevel="0" collapsed="false">
      <c r="A9" s="11" t="s">
        <v>75</v>
      </c>
      <c r="B9" s="11" t="s">
        <v>9</v>
      </c>
      <c r="C9" s="11" t="s">
        <v>24</v>
      </c>
      <c r="D9" s="11" t="s">
        <v>21</v>
      </c>
      <c r="E9" s="11" t="s">
        <v>76</v>
      </c>
      <c r="F9" s="11" t="s">
        <v>77</v>
      </c>
      <c r="G9" s="11" t="s">
        <v>78</v>
      </c>
      <c r="H9" s="11" t="s">
        <v>5</v>
      </c>
      <c r="I9" s="11" t="s">
        <v>43</v>
      </c>
      <c r="J9" s="11" t="s">
        <v>79</v>
      </c>
    </row>
    <row r="10" customFormat="false" ht="23.85" hidden="false" customHeight="false" outlineLevel="0" collapsed="false">
      <c r="A10" s="11" t="s">
        <v>80</v>
      </c>
      <c r="B10" s="11" t="s">
        <v>9</v>
      </c>
      <c r="C10" s="11" t="s">
        <v>24</v>
      </c>
      <c r="D10" s="11" t="s">
        <v>20</v>
      </c>
      <c r="E10" s="11" t="s">
        <v>81</v>
      </c>
      <c r="F10" s="11" t="s">
        <v>82</v>
      </c>
      <c r="G10" s="11" t="s">
        <v>83</v>
      </c>
      <c r="H10" s="11" t="s">
        <v>5</v>
      </c>
      <c r="I10" s="11" t="s">
        <v>43</v>
      </c>
      <c r="J10" s="11" t="s">
        <v>84</v>
      </c>
    </row>
    <row r="11" customFormat="false" ht="23.85" hidden="false" customHeight="false" outlineLevel="0" collapsed="false">
      <c r="A11" s="11" t="s">
        <v>85</v>
      </c>
      <c r="B11" s="11" t="s">
        <v>9</v>
      </c>
      <c r="C11" s="11" t="s">
        <v>24</v>
      </c>
      <c r="D11" s="11" t="s">
        <v>21</v>
      </c>
      <c r="E11" s="11" t="s">
        <v>86</v>
      </c>
      <c r="F11" s="11" t="s">
        <v>87</v>
      </c>
      <c r="G11" s="11" t="s">
        <v>88</v>
      </c>
      <c r="H11" s="11" t="s">
        <v>5</v>
      </c>
      <c r="I11" s="11" t="s">
        <v>43</v>
      </c>
      <c r="J11" s="11" t="s">
        <v>89</v>
      </c>
    </row>
    <row r="12" customFormat="false" ht="35.05" hidden="false" customHeight="false" outlineLevel="0" collapsed="false">
      <c r="A12" s="11" t="s">
        <v>90</v>
      </c>
      <c r="B12" s="11" t="s">
        <v>9</v>
      </c>
      <c r="C12" s="11" t="s">
        <v>24</v>
      </c>
      <c r="D12" s="11" t="s">
        <v>20</v>
      </c>
      <c r="E12" s="11" t="s">
        <v>91</v>
      </c>
      <c r="F12" s="11" t="s">
        <v>92</v>
      </c>
      <c r="G12" s="11" t="s">
        <v>93</v>
      </c>
      <c r="H12" s="11" t="s">
        <v>5</v>
      </c>
      <c r="I12" s="11" t="s">
        <v>43</v>
      </c>
      <c r="J12" s="11" t="s">
        <v>94</v>
      </c>
    </row>
    <row r="13" customFormat="false" ht="15" hidden="false" customHeight="false" outlineLevel="0" collapsed="false">
      <c r="A13" s="11" t="s">
        <v>95</v>
      </c>
      <c r="B13" s="11" t="s">
        <v>9</v>
      </c>
      <c r="C13" s="11" t="s">
        <v>24</v>
      </c>
      <c r="D13" s="11" t="s">
        <v>21</v>
      </c>
      <c r="E13" s="11" t="s">
        <v>96</v>
      </c>
      <c r="F13" s="11" t="s">
        <v>97</v>
      </c>
      <c r="G13" s="11" t="s">
        <v>98</v>
      </c>
      <c r="H13" s="11" t="s">
        <v>5</v>
      </c>
      <c r="I13" s="11" t="s">
        <v>43</v>
      </c>
      <c r="J13" s="11" t="s">
        <v>99</v>
      </c>
    </row>
    <row r="14" customFormat="false" ht="15" hidden="false" customHeight="false" outlineLevel="0" collapsed="false">
      <c r="A14" s="11" t="s">
        <v>100</v>
      </c>
      <c r="B14" s="11" t="s">
        <v>9</v>
      </c>
      <c r="C14" s="11" t="s">
        <v>24</v>
      </c>
      <c r="D14" s="11" t="s">
        <v>21</v>
      </c>
      <c r="E14" s="11" t="s">
        <v>101</v>
      </c>
      <c r="F14" s="11" t="s">
        <v>102</v>
      </c>
      <c r="G14" s="11" t="s">
        <v>68</v>
      </c>
      <c r="H14" s="11" t="s">
        <v>5</v>
      </c>
      <c r="I14" s="11" t="s">
        <v>43</v>
      </c>
      <c r="J14" s="11" t="s">
        <v>103</v>
      </c>
    </row>
    <row r="15" customFormat="false" ht="23.85" hidden="false" customHeight="false" outlineLevel="0" collapsed="false">
      <c r="A15" s="11" t="s">
        <v>104</v>
      </c>
      <c r="B15" s="11" t="s">
        <v>10</v>
      </c>
      <c r="C15" s="11" t="s">
        <v>24</v>
      </c>
      <c r="D15" s="11" t="s">
        <v>20</v>
      </c>
      <c r="E15" s="11" t="s">
        <v>105</v>
      </c>
      <c r="F15" s="11" t="s">
        <v>106</v>
      </c>
      <c r="G15" s="11" t="s">
        <v>107</v>
      </c>
      <c r="H15" s="11" t="s">
        <v>5</v>
      </c>
      <c r="I15" s="11" t="s">
        <v>43</v>
      </c>
      <c r="J15" s="11" t="s">
        <v>108</v>
      </c>
    </row>
    <row r="16" customFormat="false" ht="23.85" hidden="false" customHeight="false" outlineLevel="0" collapsed="false">
      <c r="A16" s="11" t="s">
        <v>109</v>
      </c>
      <c r="B16" s="11" t="s">
        <v>10</v>
      </c>
      <c r="C16" s="11" t="s">
        <v>24</v>
      </c>
      <c r="D16" s="11" t="s">
        <v>20</v>
      </c>
      <c r="E16" s="11" t="s">
        <v>110</v>
      </c>
      <c r="F16" s="11" t="s">
        <v>111</v>
      </c>
      <c r="G16" s="11" t="s">
        <v>112</v>
      </c>
      <c r="H16" s="11" t="s">
        <v>5</v>
      </c>
      <c r="I16" s="11" t="s">
        <v>43</v>
      </c>
      <c r="J16" s="11" t="s">
        <v>113</v>
      </c>
    </row>
    <row r="17" customFormat="false" ht="15" hidden="false" customHeight="false" outlineLevel="0" collapsed="false">
      <c r="A17" s="11" t="s">
        <v>114</v>
      </c>
      <c r="B17" s="11" t="s">
        <v>10</v>
      </c>
      <c r="C17" s="11" t="s">
        <v>24</v>
      </c>
      <c r="D17" s="11" t="s">
        <v>20</v>
      </c>
      <c r="E17" s="11" t="s">
        <v>115</v>
      </c>
      <c r="F17" s="11" t="s">
        <v>116</v>
      </c>
      <c r="G17" s="11" t="s">
        <v>117</v>
      </c>
      <c r="H17" s="11" t="s">
        <v>5</v>
      </c>
      <c r="I17" s="11" t="s">
        <v>43</v>
      </c>
      <c r="J17" s="11" t="s">
        <v>118</v>
      </c>
    </row>
    <row r="18" customFormat="false" ht="35.05" hidden="false" customHeight="false" outlineLevel="0" collapsed="false">
      <c r="A18" s="11" t="s">
        <v>119</v>
      </c>
      <c r="B18" s="11" t="s">
        <v>10</v>
      </c>
      <c r="C18" s="11" t="s">
        <v>24</v>
      </c>
      <c r="D18" s="11" t="s">
        <v>20</v>
      </c>
      <c r="E18" s="11" t="s">
        <v>120</v>
      </c>
      <c r="F18" s="11" t="s">
        <v>121</v>
      </c>
      <c r="G18" s="11" t="s">
        <v>122</v>
      </c>
      <c r="H18" s="11" t="s">
        <v>5</v>
      </c>
      <c r="I18" s="11" t="s">
        <v>43</v>
      </c>
      <c r="J18" s="11" t="s">
        <v>123</v>
      </c>
    </row>
    <row r="19" customFormat="false" ht="15" hidden="false" customHeight="false" outlineLevel="0" collapsed="false">
      <c r="A19" s="11" t="s">
        <v>124</v>
      </c>
      <c r="B19" s="11" t="s">
        <v>10</v>
      </c>
      <c r="C19" s="11" t="s">
        <v>24</v>
      </c>
      <c r="D19" s="11" t="s">
        <v>21</v>
      </c>
      <c r="E19" s="11" t="s">
        <v>125</v>
      </c>
      <c r="F19" s="11" t="s">
        <v>126</v>
      </c>
      <c r="G19" s="11" t="s">
        <v>127</v>
      </c>
      <c r="H19" s="11" t="s">
        <v>5</v>
      </c>
      <c r="I19" s="11" t="s">
        <v>43</v>
      </c>
      <c r="J19" s="11" t="s">
        <v>128</v>
      </c>
    </row>
    <row r="20" customFormat="false" ht="46.25" hidden="false" customHeight="false" outlineLevel="0" collapsed="false">
      <c r="A20" s="11" t="s">
        <v>129</v>
      </c>
      <c r="B20" s="11" t="s">
        <v>10</v>
      </c>
      <c r="C20" s="11" t="s">
        <v>24</v>
      </c>
      <c r="D20" s="11" t="s">
        <v>20</v>
      </c>
      <c r="E20" s="11" t="s">
        <v>130</v>
      </c>
      <c r="F20" s="11" t="s">
        <v>131</v>
      </c>
      <c r="G20" s="11" t="s">
        <v>132</v>
      </c>
      <c r="H20" s="11" t="s">
        <v>5</v>
      </c>
      <c r="I20" s="11" t="s">
        <v>43</v>
      </c>
      <c r="J20" s="11" t="s">
        <v>133</v>
      </c>
    </row>
    <row r="21" customFormat="false" ht="35.05" hidden="false" customHeight="false" outlineLevel="0" collapsed="false">
      <c r="A21" s="11" t="s">
        <v>134</v>
      </c>
      <c r="B21" s="11" t="s">
        <v>10</v>
      </c>
      <c r="C21" s="11" t="s">
        <v>24</v>
      </c>
      <c r="D21" s="11" t="s">
        <v>20</v>
      </c>
      <c r="E21" s="11" t="s">
        <v>135</v>
      </c>
      <c r="F21" s="11" t="s">
        <v>136</v>
      </c>
      <c r="G21" s="11" t="s">
        <v>137</v>
      </c>
      <c r="H21" s="11" t="s">
        <v>5</v>
      </c>
      <c r="I21" s="11" t="s">
        <v>43</v>
      </c>
      <c r="J21" s="11" t="s">
        <v>138</v>
      </c>
    </row>
    <row r="22" customFormat="false" ht="23.85" hidden="false" customHeight="false" outlineLevel="0" collapsed="false">
      <c r="A22" s="11" t="s">
        <v>139</v>
      </c>
      <c r="B22" s="11" t="s">
        <v>10</v>
      </c>
      <c r="C22" s="11" t="s">
        <v>24</v>
      </c>
      <c r="D22" s="11" t="s">
        <v>20</v>
      </c>
      <c r="E22" s="11" t="s">
        <v>140</v>
      </c>
      <c r="F22" s="11" t="s">
        <v>141</v>
      </c>
      <c r="G22" s="11" t="s">
        <v>142</v>
      </c>
      <c r="H22" s="11" t="s">
        <v>5</v>
      </c>
      <c r="I22" s="11" t="s">
        <v>43</v>
      </c>
      <c r="J22" s="11" t="s">
        <v>143</v>
      </c>
    </row>
    <row r="23" customFormat="false" ht="15" hidden="false" customHeight="false" outlineLevel="0" collapsed="false">
      <c r="A23" s="11" t="s">
        <v>144</v>
      </c>
      <c r="B23" s="11" t="s">
        <v>10</v>
      </c>
      <c r="C23" s="11" t="s">
        <v>24</v>
      </c>
      <c r="D23" s="11" t="s">
        <v>21</v>
      </c>
      <c r="E23" s="11" t="s">
        <v>145</v>
      </c>
      <c r="F23" s="11" t="s">
        <v>146</v>
      </c>
      <c r="G23" s="11" t="s">
        <v>147</v>
      </c>
      <c r="H23" s="11" t="s">
        <v>5</v>
      </c>
      <c r="I23" s="11" t="s">
        <v>43</v>
      </c>
      <c r="J23" s="11" t="s">
        <v>148</v>
      </c>
    </row>
    <row r="24" customFormat="false" ht="23.85" hidden="false" customHeight="false" outlineLevel="0" collapsed="false">
      <c r="A24" s="11" t="s">
        <v>149</v>
      </c>
      <c r="B24" s="11" t="s">
        <v>10</v>
      </c>
      <c r="C24" s="11" t="s">
        <v>24</v>
      </c>
      <c r="D24" s="11" t="s">
        <v>21</v>
      </c>
      <c r="E24" s="11" t="s">
        <v>150</v>
      </c>
      <c r="F24" s="11" t="s">
        <v>151</v>
      </c>
      <c r="G24" s="11" t="s">
        <v>152</v>
      </c>
      <c r="H24" s="11" t="s">
        <v>5</v>
      </c>
      <c r="I24" s="11" t="s">
        <v>43</v>
      </c>
      <c r="J24" s="11" t="s">
        <v>153</v>
      </c>
    </row>
    <row r="25" customFormat="false" ht="23.85" hidden="false" customHeight="false" outlineLevel="0" collapsed="false">
      <c r="A25" s="11" t="s">
        <v>154</v>
      </c>
      <c r="B25" s="11" t="s">
        <v>10</v>
      </c>
      <c r="C25" s="11" t="s">
        <v>24</v>
      </c>
      <c r="D25" s="11" t="s">
        <v>21</v>
      </c>
      <c r="E25" s="11" t="s">
        <v>155</v>
      </c>
      <c r="F25" s="11" t="s">
        <v>156</v>
      </c>
      <c r="G25" s="11" t="s">
        <v>157</v>
      </c>
      <c r="H25" s="11" t="s">
        <v>5</v>
      </c>
      <c r="I25" s="11" t="s">
        <v>43</v>
      </c>
      <c r="J25" s="11" t="s">
        <v>158</v>
      </c>
    </row>
    <row r="26" customFormat="false" ht="23.85" hidden="false" customHeight="false" outlineLevel="0" collapsed="false">
      <c r="A26" s="11" t="s">
        <v>159</v>
      </c>
      <c r="B26" s="11" t="s">
        <v>11</v>
      </c>
      <c r="C26" s="11" t="s">
        <v>24</v>
      </c>
      <c r="D26" s="11" t="s">
        <v>20</v>
      </c>
      <c r="E26" s="11" t="s">
        <v>160</v>
      </c>
      <c r="F26" s="11" t="s">
        <v>161</v>
      </c>
      <c r="G26" s="11" t="s">
        <v>162</v>
      </c>
      <c r="H26" s="11" t="s">
        <v>5</v>
      </c>
      <c r="I26" s="11" t="s">
        <v>43</v>
      </c>
      <c r="J26" s="11" t="s">
        <v>163</v>
      </c>
    </row>
    <row r="27" customFormat="false" ht="23.85" hidden="false" customHeight="false" outlineLevel="0" collapsed="false">
      <c r="A27" s="11" t="s">
        <v>164</v>
      </c>
      <c r="B27" s="11" t="s">
        <v>11</v>
      </c>
      <c r="C27" s="11" t="s">
        <v>24</v>
      </c>
      <c r="D27" s="11" t="s">
        <v>20</v>
      </c>
      <c r="E27" s="11" t="s">
        <v>165</v>
      </c>
      <c r="F27" s="11" t="s">
        <v>166</v>
      </c>
      <c r="G27" s="11" t="s">
        <v>167</v>
      </c>
      <c r="H27" s="11" t="s">
        <v>5</v>
      </c>
      <c r="I27" s="11" t="s">
        <v>43</v>
      </c>
      <c r="J27" s="11" t="s">
        <v>168</v>
      </c>
    </row>
    <row r="28" customFormat="false" ht="15" hidden="false" customHeight="false" outlineLevel="0" collapsed="false">
      <c r="A28" s="11" t="s">
        <v>169</v>
      </c>
      <c r="B28" s="11" t="s">
        <v>11</v>
      </c>
      <c r="C28" s="11" t="s">
        <v>24</v>
      </c>
      <c r="D28" s="11" t="s">
        <v>20</v>
      </c>
      <c r="E28" s="11" t="s">
        <v>170</v>
      </c>
      <c r="F28" s="11" t="s">
        <v>171</v>
      </c>
      <c r="G28" s="11" t="s">
        <v>172</v>
      </c>
      <c r="H28" s="11" t="s">
        <v>5</v>
      </c>
      <c r="I28" s="11" t="s">
        <v>43</v>
      </c>
      <c r="J28" s="11" t="s">
        <v>173</v>
      </c>
    </row>
    <row r="29" customFormat="false" ht="15" hidden="false" customHeight="false" outlineLevel="0" collapsed="false">
      <c r="A29" s="11" t="s">
        <v>174</v>
      </c>
      <c r="B29" s="11" t="s">
        <v>11</v>
      </c>
      <c r="C29" s="11" t="s">
        <v>24</v>
      </c>
      <c r="D29" s="11" t="s">
        <v>20</v>
      </c>
      <c r="E29" s="11" t="s">
        <v>175</v>
      </c>
      <c r="F29" s="11" t="s">
        <v>176</v>
      </c>
      <c r="G29" s="11" t="s">
        <v>177</v>
      </c>
      <c r="H29" s="11" t="s">
        <v>5</v>
      </c>
      <c r="I29" s="11" t="s">
        <v>43</v>
      </c>
      <c r="J29" s="11" t="s">
        <v>178</v>
      </c>
    </row>
    <row r="30" customFormat="false" ht="23.85" hidden="false" customHeight="false" outlineLevel="0" collapsed="false">
      <c r="A30" s="11" t="s">
        <v>179</v>
      </c>
      <c r="B30" s="11" t="s">
        <v>11</v>
      </c>
      <c r="C30" s="11" t="s">
        <v>24</v>
      </c>
      <c r="D30" s="11" t="s">
        <v>21</v>
      </c>
      <c r="E30" s="11" t="s">
        <v>180</v>
      </c>
      <c r="F30" s="11" t="s">
        <v>181</v>
      </c>
      <c r="G30" s="11" t="s">
        <v>182</v>
      </c>
      <c r="H30" s="11" t="s">
        <v>5</v>
      </c>
      <c r="I30" s="11" t="s">
        <v>43</v>
      </c>
      <c r="J30" s="11" t="s">
        <v>183</v>
      </c>
    </row>
    <row r="31" customFormat="false" ht="15" hidden="false" customHeight="false" outlineLevel="0" collapsed="false">
      <c r="A31" s="11" t="s">
        <v>184</v>
      </c>
      <c r="B31" s="11" t="s">
        <v>11</v>
      </c>
      <c r="C31" s="11" t="s">
        <v>24</v>
      </c>
      <c r="D31" s="11" t="s">
        <v>20</v>
      </c>
      <c r="E31" s="11" t="s">
        <v>185</v>
      </c>
      <c r="F31" s="11" t="s">
        <v>186</v>
      </c>
      <c r="G31" s="11" t="s">
        <v>187</v>
      </c>
      <c r="H31" s="11" t="s">
        <v>5</v>
      </c>
      <c r="I31" s="11" t="s">
        <v>43</v>
      </c>
      <c r="J31" s="11" t="s">
        <v>188</v>
      </c>
    </row>
    <row r="32" customFormat="false" ht="35.05" hidden="false" customHeight="false" outlineLevel="0" collapsed="false">
      <c r="A32" s="11" t="s">
        <v>189</v>
      </c>
      <c r="B32" s="11" t="s">
        <v>11</v>
      </c>
      <c r="C32" s="11" t="s">
        <v>24</v>
      </c>
      <c r="D32" s="11" t="s">
        <v>20</v>
      </c>
      <c r="E32" s="11" t="s">
        <v>190</v>
      </c>
      <c r="F32" s="11" t="s">
        <v>191</v>
      </c>
      <c r="G32" s="11" t="s">
        <v>192</v>
      </c>
      <c r="H32" s="11" t="s">
        <v>5</v>
      </c>
      <c r="I32" s="11" t="s">
        <v>43</v>
      </c>
      <c r="J32" s="11" t="s">
        <v>193</v>
      </c>
    </row>
    <row r="33" customFormat="false" ht="46.25" hidden="false" customHeight="false" outlineLevel="0" collapsed="false">
      <c r="A33" s="11" t="s">
        <v>194</v>
      </c>
      <c r="B33" s="11" t="s">
        <v>11</v>
      </c>
      <c r="C33" s="11" t="s">
        <v>24</v>
      </c>
      <c r="D33" s="11" t="s">
        <v>20</v>
      </c>
      <c r="E33" s="11" t="s">
        <v>195</v>
      </c>
      <c r="F33" s="11" t="s">
        <v>196</v>
      </c>
      <c r="G33" s="11" t="s">
        <v>197</v>
      </c>
      <c r="H33" s="11" t="s">
        <v>5</v>
      </c>
      <c r="I33" s="11" t="s">
        <v>43</v>
      </c>
      <c r="J33" s="11" t="s">
        <v>198</v>
      </c>
    </row>
    <row r="34" customFormat="false" ht="23.85" hidden="false" customHeight="false" outlineLevel="0" collapsed="false">
      <c r="A34" s="11" t="s">
        <v>199</v>
      </c>
      <c r="B34" s="11" t="s">
        <v>11</v>
      </c>
      <c r="C34" s="11" t="s">
        <v>24</v>
      </c>
      <c r="D34" s="11" t="s">
        <v>20</v>
      </c>
      <c r="E34" s="11" t="s">
        <v>200</v>
      </c>
      <c r="F34" s="11" t="s">
        <v>201</v>
      </c>
      <c r="G34" s="11" t="s">
        <v>202</v>
      </c>
      <c r="H34" s="11" t="s">
        <v>5</v>
      </c>
      <c r="I34" s="11" t="s">
        <v>43</v>
      </c>
      <c r="J34" s="11" t="s">
        <v>203</v>
      </c>
    </row>
    <row r="35" customFormat="false" ht="15" hidden="false" customHeight="false" outlineLevel="0" collapsed="false">
      <c r="A35" s="11" t="s">
        <v>204</v>
      </c>
      <c r="B35" s="11" t="s">
        <v>11</v>
      </c>
      <c r="C35" s="11" t="s">
        <v>24</v>
      </c>
      <c r="D35" s="11" t="s">
        <v>21</v>
      </c>
      <c r="E35" s="11" t="s">
        <v>205</v>
      </c>
      <c r="F35" s="11" t="s">
        <v>206</v>
      </c>
      <c r="G35" s="11" t="s">
        <v>207</v>
      </c>
      <c r="H35" s="11" t="s">
        <v>5</v>
      </c>
      <c r="I35" s="11" t="s">
        <v>43</v>
      </c>
      <c r="J35" s="11" t="s">
        <v>208</v>
      </c>
    </row>
    <row r="36" customFormat="false" ht="23.85" hidden="false" customHeight="false" outlineLevel="0" collapsed="false">
      <c r="A36" s="11" t="s">
        <v>209</v>
      </c>
      <c r="B36" s="11" t="s">
        <v>11</v>
      </c>
      <c r="C36" s="11" t="s">
        <v>24</v>
      </c>
      <c r="D36" s="11" t="s">
        <v>20</v>
      </c>
      <c r="E36" s="11" t="s">
        <v>210</v>
      </c>
      <c r="F36" s="11" t="s">
        <v>211</v>
      </c>
      <c r="G36" s="11" t="s">
        <v>212</v>
      </c>
      <c r="H36" s="11" t="s">
        <v>5</v>
      </c>
      <c r="I36" s="11" t="s">
        <v>43</v>
      </c>
      <c r="J36" s="11" t="s">
        <v>213</v>
      </c>
    </row>
    <row r="37" customFormat="false" ht="23.85" hidden="false" customHeight="false" outlineLevel="0" collapsed="false">
      <c r="A37" s="11" t="s">
        <v>214</v>
      </c>
      <c r="B37" s="11" t="s">
        <v>11</v>
      </c>
      <c r="C37" s="11" t="s">
        <v>24</v>
      </c>
      <c r="D37" s="11" t="s">
        <v>21</v>
      </c>
      <c r="E37" s="11" t="s">
        <v>215</v>
      </c>
      <c r="F37" s="11" t="s">
        <v>216</v>
      </c>
      <c r="G37" s="11" t="s">
        <v>217</v>
      </c>
      <c r="H37" s="11" t="s">
        <v>5</v>
      </c>
      <c r="I37" s="11" t="s">
        <v>43</v>
      </c>
      <c r="J37" s="11" t="s">
        <v>218</v>
      </c>
    </row>
    <row r="38" customFormat="false" ht="35.05" hidden="false" customHeight="false" outlineLevel="0" collapsed="false">
      <c r="A38" s="11" t="s">
        <v>219</v>
      </c>
      <c r="B38" s="11" t="s">
        <v>11</v>
      </c>
      <c r="C38" s="11" t="s">
        <v>24</v>
      </c>
      <c r="D38" s="11" t="s">
        <v>20</v>
      </c>
      <c r="E38" s="11" t="s">
        <v>220</v>
      </c>
      <c r="F38" s="11" t="s">
        <v>221</v>
      </c>
      <c r="G38" s="11" t="s">
        <v>222</v>
      </c>
      <c r="H38" s="11" t="s">
        <v>5</v>
      </c>
      <c r="I38" s="11" t="s">
        <v>43</v>
      </c>
      <c r="J38" s="11" t="s">
        <v>223</v>
      </c>
    </row>
    <row r="39" customFormat="false" ht="46.25" hidden="false" customHeight="false" outlineLevel="0" collapsed="false">
      <c r="A39" s="11" t="s">
        <v>224</v>
      </c>
      <c r="B39" s="11" t="s">
        <v>11</v>
      </c>
      <c r="C39" s="11" t="s">
        <v>24</v>
      </c>
      <c r="D39" s="11" t="s">
        <v>20</v>
      </c>
      <c r="E39" s="11" t="s">
        <v>225</v>
      </c>
      <c r="F39" s="11" t="s">
        <v>226</v>
      </c>
      <c r="G39" s="11" t="s">
        <v>227</v>
      </c>
      <c r="H39" s="11" t="s">
        <v>5</v>
      </c>
      <c r="I39" s="11" t="s">
        <v>43</v>
      </c>
      <c r="J39" s="11" t="s">
        <v>228</v>
      </c>
    </row>
    <row r="40" customFormat="false" ht="23.85" hidden="false" customHeight="false" outlineLevel="0" collapsed="false">
      <c r="A40" s="11" t="s">
        <v>229</v>
      </c>
      <c r="B40" s="11" t="s">
        <v>11</v>
      </c>
      <c r="C40" s="11" t="s">
        <v>24</v>
      </c>
      <c r="D40" s="11" t="s">
        <v>20</v>
      </c>
      <c r="E40" s="11" t="s">
        <v>230</v>
      </c>
      <c r="F40" s="11" t="s">
        <v>231</v>
      </c>
      <c r="G40" s="11" t="s">
        <v>232</v>
      </c>
      <c r="H40" s="11" t="s">
        <v>5</v>
      </c>
      <c r="I40" s="11" t="s">
        <v>43</v>
      </c>
      <c r="J40" s="11" t="s">
        <v>233</v>
      </c>
    </row>
    <row r="41" customFormat="false" ht="15" hidden="false" customHeight="false" outlineLevel="0" collapsed="false">
      <c r="A41" s="11" t="s">
        <v>234</v>
      </c>
      <c r="B41" s="11" t="s">
        <v>12</v>
      </c>
      <c r="C41" s="11" t="s">
        <v>24</v>
      </c>
      <c r="D41" s="11" t="s">
        <v>20</v>
      </c>
      <c r="E41" s="11" t="s">
        <v>235</v>
      </c>
      <c r="F41" s="11" t="s">
        <v>236</v>
      </c>
      <c r="G41" s="11" t="s">
        <v>237</v>
      </c>
      <c r="H41" s="11" t="s">
        <v>5</v>
      </c>
      <c r="I41" s="11" t="s">
        <v>43</v>
      </c>
      <c r="J41" s="11" t="s">
        <v>238</v>
      </c>
    </row>
    <row r="42" customFormat="false" ht="23.85" hidden="false" customHeight="false" outlineLevel="0" collapsed="false">
      <c r="A42" s="11" t="s">
        <v>239</v>
      </c>
      <c r="B42" s="11" t="s">
        <v>12</v>
      </c>
      <c r="C42" s="11" t="s">
        <v>24</v>
      </c>
      <c r="D42" s="11" t="s">
        <v>21</v>
      </c>
      <c r="E42" s="11" t="s">
        <v>240</v>
      </c>
      <c r="F42" s="11" t="s">
        <v>241</v>
      </c>
      <c r="G42" s="11" t="s">
        <v>242</v>
      </c>
      <c r="H42" s="11" t="s">
        <v>5</v>
      </c>
      <c r="I42" s="11" t="s">
        <v>43</v>
      </c>
      <c r="J42" s="11" t="s">
        <v>243</v>
      </c>
    </row>
    <row r="43" customFormat="false" ht="23.85" hidden="false" customHeight="false" outlineLevel="0" collapsed="false">
      <c r="A43" s="11" t="s">
        <v>244</v>
      </c>
      <c r="B43" s="11" t="s">
        <v>12</v>
      </c>
      <c r="C43" s="11" t="s">
        <v>24</v>
      </c>
      <c r="D43" s="11" t="s">
        <v>20</v>
      </c>
      <c r="E43" s="11" t="s">
        <v>245</v>
      </c>
      <c r="F43" s="11" t="s">
        <v>246</v>
      </c>
      <c r="G43" s="11" t="s">
        <v>247</v>
      </c>
      <c r="H43" s="11" t="s">
        <v>5</v>
      </c>
      <c r="I43" s="11" t="s">
        <v>43</v>
      </c>
      <c r="J43" s="11" t="s">
        <v>248</v>
      </c>
    </row>
    <row r="44" customFormat="false" ht="23.85" hidden="false" customHeight="false" outlineLevel="0" collapsed="false">
      <c r="A44" s="11" t="s">
        <v>249</v>
      </c>
      <c r="B44" s="11" t="s">
        <v>12</v>
      </c>
      <c r="C44" s="11" t="s">
        <v>24</v>
      </c>
      <c r="D44" s="11" t="s">
        <v>20</v>
      </c>
      <c r="E44" s="11" t="s">
        <v>250</v>
      </c>
      <c r="F44" s="11" t="s">
        <v>251</v>
      </c>
      <c r="G44" s="11" t="s">
        <v>252</v>
      </c>
      <c r="H44" s="11" t="s">
        <v>5</v>
      </c>
      <c r="I44" s="11" t="s">
        <v>43</v>
      </c>
      <c r="J44" s="11" t="s">
        <v>253</v>
      </c>
    </row>
    <row r="45" customFormat="false" ht="35.05" hidden="false" customHeight="false" outlineLevel="0" collapsed="false">
      <c r="A45" s="11" t="s">
        <v>254</v>
      </c>
      <c r="B45" s="11" t="s">
        <v>12</v>
      </c>
      <c r="C45" s="11" t="s">
        <v>24</v>
      </c>
      <c r="D45" s="11" t="s">
        <v>21</v>
      </c>
      <c r="E45" s="11" t="s">
        <v>255</v>
      </c>
      <c r="F45" s="11" t="s">
        <v>256</v>
      </c>
      <c r="G45" s="11" t="s">
        <v>257</v>
      </c>
      <c r="H45" s="11" t="s">
        <v>5</v>
      </c>
      <c r="I45" s="11" t="s">
        <v>43</v>
      </c>
      <c r="J45" s="11" t="s">
        <v>258</v>
      </c>
    </row>
    <row r="46" customFormat="false" ht="15" hidden="false" customHeight="false" outlineLevel="0" collapsed="false">
      <c r="A46" s="11" t="s">
        <v>259</v>
      </c>
      <c r="B46" s="11" t="s">
        <v>12</v>
      </c>
      <c r="C46" s="11" t="s">
        <v>24</v>
      </c>
      <c r="D46" s="11" t="s">
        <v>22</v>
      </c>
      <c r="E46" s="11" t="s">
        <v>260</v>
      </c>
      <c r="F46" s="11" t="s">
        <v>261</v>
      </c>
      <c r="G46" s="11" t="s">
        <v>262</v>
      </c>
      <c r="H46" s="11" t="s">
        <v>5</v>
      </c>
      <c r="I46" s="11" t="s">
        <v>43</v>
      </c>
      <c r="J46" s="11" t="s">
        <v>263</v>
      </c>
    </row>
    <row r="47" customFormat="false" ht="15" hidden="false" customHeight="false" outlineLevel="0" collapsed="false">
      <c r="A47" s="11" t="s">
        <v>264</v>
      </c>
      <c r="B47" s="11" t="s">
        <v>13</v>
      </c>
      <c r="C47" s="11" t="s">
        <v>24</v>
      </c>
      <c r="D47" s="11" t="s">
        <v>20</v>
      </c>
      <c r="E47" s="11" t="s">
        <v>265</v>
      </c>
      <c r="F47" s="11" t="s">
        <v>266</v>
      </c>
      <c r="G47" s="11" t="s">
        <v>267</v>
      </c>
      <c r="H47" s="11" t="s">
        <v>5</v>
      </c>
      <c r="I47" s="11" t="s">
        <v>43</v>
      </c>
      <c r="J47" s="11" t="s">
        <v>268</v>
      </c>
    </row>
    <row r="48" customFormat="false" ht="23.85" hidden="false" customHeight="false" outlineLevel="0" collapsed="false">
      <c r="A48" s="11" t="s">
        <v>269</v>
      </c>
      <c r="B48" s="11" t="s">
        <v>13</v>
      </c>
      <c r="C48" s="11" t="s">
        <v>24</v>
      </c>
      <c r="D48" s="11" t="s">
        <v>20</v>
      </c>
      <c r="E48" s="11" t="s">
        <v>270</v>
      </c>
      <c r="F48" s="11" t="s">
        <v>271</v>
      </c>
      <c r="G48" s="11" t="s">
        <v>272</v>
      </c>
      <c r="H48" s="11" t="s">
        <v>5</v>
      </c>
      <c r="I48" s="11" t="s">
        <v>43</v>
      </c>
      <c r="J48" s="11" t="s">
        <v>273</v>
      </c>
    </row>
    <row r="49" customFormat="false" ht="23.85" hidden="false" customHeight="false" outlineLevel="0" collapsed="false">
      <c r="A49" s="11" t="s">
        <v>274</v>
      </c>
      <c r="B49" s="11" t="s">
        <v>13</v>
      </c>
      <c r="C49" s="11" t="s">
        <v>24</v>
      </c>
      <c r="D49" s="11" t="s">
        <v>20</v>
      </c>
      <c r="E49" s="11" t="s">
        <v>275</v>
      </c>
      <c r="F49" s="11" t="s">
        <v>276</v>
      </c>
      <c r="G49" s="11" t="s">
        <v>277</v>
      </c>
      <c r="H49" s="11" t="s">
        <v>5</v>
      </c>
      <c r="I49" s="11" t="s">
        <v>43</v>
      </c>
      <c r="J49" s="11" t="s">
        <v>278</v>
      </c>
    </row>
    <row r="50" customFormat="false" ht="23.85" hidden="false" customHeight="false" outlineLevel="0" collapsed="false">
      <c r="A50" s="11" t="s">
        <v>279</v>
      </c>
      <c r="B50" s="11" t="s">
        <v>13</v>
      </c>
      <c r="C50" s="11" t="s">
        <v>24</v>
      </c>
      <c r="D50" s="11" t="s">
        <v>20</v>
      </c>
      <c r="E50" s="11" t="s">
        <v>280</v>
      </c>
      <c r="F50" s="11" t="s">
        <v>281</v>
      </c>
      <c r="G50" s="11" t="s">
        <v>282</v>
      </c>
      <c r="H50" s="11" t="s">
        <v>5</v>
      </c>
      <c r="I50" s="11" t="s">
        <v>43</v>
      </c>
      <c r="J50" s="11" t="s">
        <v>283</v>
      </c>
    </row>
    <row r="51" customFormat="false" ht="15" hidden="false" customHeight="false" outlineLevel="0" collapsed="false">
      <c r="A51" s="11" t="s">
        <v>284</v>
      </c>
      <c r="B51" s="11" t="s">
        <v>13</v>
      </c>
      <c r="C51" s="11" t="s">
        <v>24</v>
      </c>
      <c r="D51" s="11" t="s">
        <v>21</v>
      </c>
      <c r="E51" s="11" t="s">
        <v>285</v>
      </c>
      <c r="F51" s="11" t="s">
        <v>286</v>
      </c>
      <c r="G51" s="11" t="s">
        <v>147</v>
      </c>
      <c r="H51" s="11" t="s">
        <v>5</v>
      </c>
      <c r="I51" s="11" t="s">
        <v>43</v>
      </c>
      <c r="J51" s="11" t="s">
        <v>287</v>
      </c>
    </row>
    <row r="52" customFormat="false" ht="15" hidden="false" customHeight="false" outlineLevel="0" collapsed="false">
      <c r="A52" s="11" t="s">
        <v>288</v>
      </c>
      <c r="B52" s="11" t="s">
        <v>13</v>
      </c>
      <c r="C52" s="11" t="s">
        <v>24</v>
      </c>
      <c r="D52" s="11" t="s">
        <v>21</v>
      </c>
      <c r="E52" s="11" t="s">
        <v>289</v>
      </c>
      <c r="F52" s="11" t="s">
        <v>290</v>
      </c>
      <c r="G52" s="11" t="s">
        <v>291</v>
      </c>
      <c r="H52" s="11" t="s">
        <v>5</v>
      </c>
      <c r="I52" s="11" t="s">
        <v>43</v>
      </c>
      <c r="J52" s="11" t="s">
        <v>292</v>
      </c>
    </row>
    <row r="53" customFormat="false" ht="15" hidden="false" customHeight="false" outlineLevel="0" collapsed="false">
      <c r="A53" s="11" t="s">
        <v>293</v>
      </c>
      <c r="B53" s="11" t="s">
        <v>13</v>
      </c>
      <c r="C53" s="11" t="s">
        <v>24</v>
      </c>
      <c r="D53" s="11" t="s">
        <v>21</v>
      </c>
      <c r="E53" s="11" t="s">
        <v>294</v>
      </c>
      <c r="F53" s="11" t="s">
        <v>295</v>
      </c>
      <c r="G53" s="11" t="s">
        <v>296</v>
      </c>
      <c r="H53" s="11" t="s">
        <v>5</v>
      </c>
      <c r="I53" s="11" t="s">
        <v>43</v>
      </c>
      <c r="J53" s="11" t="s">
        <v>297</v>
      </c>
    </row>
    <row r="54" customFormat="false" ht="23.85" hidden="false" customHeight="false" outlineLevel="0" collapsed="false">
      <c r="A54" s="11" t="s">
        <v>298</v>
      </c>
      <c r="B54" s="11" t="s">
        <v>13</v>
      </c>
      <c r="C54" s="11" t="s">
        <v>24</v>
      </c>
      <c r="D54" s="11" t="s">
        <v>20</v>
      </c>
      <c r="E54" s="11" t="s">
        <v>299</v>
      </c>
      <c r="F54" s="11" t="s">
        <v>300</v>
      </c>
      <c r="G54" s="11" t="s">
        <v>301</v>
      </c>
      <c r="H54" s="11" t="s">
        <v>5</v>
      </c>
      <c r="I54" s="11" t="s">
        <v>43</v>
      </c>
      <c r="J54" s="11" t="s">
        <v>302</v>
      </c>
    </row>
    <row r="55" customFormat="false" ht="23.85" hidden="false" customHeight="false" outlineLevel="0" collapsed="false">
      <c r="A55" s="11" t="s">
        <v>303</v>
      </c>
      <c r="B55" s="11" t="s">
        <v>14</v>
      </c>
      <c r="C55" s="11" t="s">
        <v>24</v>
      </c>
      <c r="D55" s="11" t="s">
        <v>20</v>
      </c>
      <c r="E55" s="11" t="s">
        <v>304</v>
      </c>
      <c r="F55" s="11" t="s">
        <v>305</v>
      </c>
      <c r="G55" s="11" t="s">
        <v>306</v>
      </c>
      <c r="H55" s="11" t="s">
        <v>5</v>
      </c>
      <c r="I55" s="11" t="s">
        <v>43</v>
      </c>
      <c r="J55" s="11" t="s">
        <v>307</v>
      </c>
    </row>
    <row r="56" customFormat="false" ht="23.85" hidden="false" customHeight="false" outlineLevel="0" collapsed="false">
      <c r="A56" s="11" t="s">
        <v>308</v>
      </c>
      <c r="B56" s="11" t="s">
        <v>14</v>
      </c>
      <c r="C56" s="11" t="s">
        <v>24</v>
      </c>
      <c r="D56" s="11" t="s">
        <v>20</v>
      </c>
      <c r="E56" s="11" t="s">
        <v>309</v>
      </c>
      <c r="F56" s="11" t="s">
        <v>310</v>
      </c>
      <c r="G56" s="11" t="s">
        <v>311</v>
      </c>
      <c r="H56" s="11" t="s">
        <v>5</v>
      </c>
      <c r="I56" s="11" t="s">
        <v>43</v>
      </c>
      <c r="J56" s="11" t="s">
        <v>312</v>
      </c>
    </row>
    <row r="57" customFormat="false" ht="35.05" hidden="false" customHeight="false" outlineLevel="0" collapsed="false">
      <c r="A57" s="11" t="s">
        <v>313</v>
      </c>
      <c r="B57" s="11" t="s">
        <v>14</v>
      </c>
      <c r="C57" s="11" t="s">
        <v>24</v>
      </c>
      <c r="D57" s="11" t="s">
        <v>21</v>
      </c>
      <c r="E57" s="11" t="s">
        <v>314</v>
      </c>
      <c r="F57" s="11" t="s">
        <v>315</v>
      </c>
      <c r="G57" s="11" t="s">
        <v>316</v>
      </c>
      <c r="H57" s="11" t="s">
        <v>5</v>
      </c>
      <c r="I57" s="11" t="s">
        <v>43</v>
      </c>
      <c r="J57" s="11" t="s">
        <v>317</v>
      </c>
    </row>
    <row r="58" customFormat="false" ht="23.85" hidden="false" customHeight="false" outlineLevel="0" collapsed="false">
      <c r="A58" s="11" t="s">
        <v>318</v>
      </c>
      <c r="B58" s="11" t="s">
        <v>14</v>
      </c>
      <c r="C58" s="11" t="s">
        <v>24</v>
      </c>
      <c r="D58" s="11" t="s">
        <v>20</v>
      </c>
      <c r="E58" s="11" t="s">
        <v>319</v>
      </c>
      <c r="F58" s="11" t="s">
        <v>320</v>
      </c>
      <c r="G58" s="11" t="s">
        <v>321</v>
      </c>
      <c r="H58" s="11" t="s">
        <v>5</v>
      </c>
      <c r="I58" s="11" t="s">
        <v>43</v>
      </c>
      <c r="J58" s="11" t="s">
        <v>322</v>
      </c>
    </row>
    <row r="59" customFormat="false" ht="15" hidden="false" customHeight="false" outlineLevel="0" collapsed="false">
      <c r="A59" s="11" t="s">
        <v>323</v>
      </c>
      <c r="B59" s="11" t="s">
        <v>14</v>
      </c>
      <c r="C59" s="11" t="s">
        <v>24</v>
      </c>
      <c r="D59" s="11" t="s">
        <v>21</v>
      </c>
      <c r="E59" s="11" t="s">
        <v>324</v>
      </c>
      <c r="F59" s="11" t="s">
        <v>325</v>
      </c>
      <c r="G59" s="11" t="s">
        <v>326</v>
      </c>
      <c r="H59" s="11" t="s">
        <v>5</v>
      </c>
      <c r="I59" s="11" t="s">
        <v>43</v>
      </c>
      <c r="J59" s="11" t="s">
        <v>327</v>
      </c>
    </row>
    <row r="60" customFormat="false" ht="23.85" hidden="false" customHeight="false" outlineLevel="0" collapsed="false">
      <c r="A60" s="11" t="s">
        <v>328</v>
      </c>
      <c r="B60" s="11" t="s">
        <v>14</v>
      </c>
      <c r="C60" s="11" t="s">
        <v>24</v>
      </c>
      <c r="D60" s="11" t="s">
        <v>21</v>
      </c>
      <c r="E60" s="11" t="s">
        <v>329</v>
      </c>
      <c r="F60" s="11" t="s">
        <v>330</v>
      </c>
      <c r="G60" s="11" t="s">
        <v>331</v>
      </c>
      <c r="H60" s="11" t="s">
        <v>5</v>
      </c>
      <c r="I60" s="11" t="s">
        <v>43</v>
      </c>
      <c r="J60" s="11" t="s">
        <v>332</v>
      </c>
    </row>
    <row r="61" customFormat="false" ht="15" hidden="false" customHeight="false" outlineLevel="0" collapsed="false">
      <c r="A61" s="11" t="s">
        <v>333</v>
      </c>
      <c r="B61" s="11" t="s">
        <v>14</v>
      </c>
      <c r="C61" s="11" t="s">
        <v>24</v>
      </c>
      <c r="D61" s="11" t="s">
        <v>21</v>
      </c>
      <c r="E61" s="11" t="s">
        <v>334</v>
      </c>
      <c r="F61" s="11" t="s">
        <v>335</v>
      </c>
      <c r="G61" s="11" t="s">
        <v>336</v>
      </c>
      <c r="H61" s="11" t="s">
        <v>5</v>
      </c>
      <c r="I61" s="11" t="s">
        <v>43</v>
      </c>
      <c r="J61" s="11" t="s">
        <v>337</v>
      </c>
    </row>
    <row r="62" customFormat="false" ht="23.85" hidden="false" customHeight="false" outlineLevel="0" collapsed="false">
      <c r="A62" s="11" t="s">
        <v>338</v>
      </c>
      <c r="B62" s="11" t="s">
        <v>14</v>
      </c>
      <c r="C62" s="11" t="s">
        <v>24</v>
      </c>
      <c r="D62" s="11" t="s">
        <v>21</v>
      </c>
      <c r="E62" s="11" t="s">
        <v>339</v>
      </c>
      <c r="F62" s="11" t="s">
        <v>340</v>
      </c>
      <c r="G62" s="11" t="s">
        <v>68</v>
      </c>
      <c r="H62" s="11" t="s">
        <v>5</v>
      </c>
      <c r="I62" s="11" t="s">
        <v>43</v>
      </c>
      <c r="J62" s="11" t="s">
        <v>341</v>
      </c>
    </row>
    <row r="63" customFormat="false" ht="23.85" hidden="false" customHeight="false" outlineLevel="0" collapsed="false">
      <c r="A63" s="11" t="s">
        <v>342</v>
      </c>
      <c r="B63" s="11" t="s">
        <v>14</v>
      </c>
      <c r="C63" s="11" t="s">
        <v>24</v>
      </c>
      <c r="D63" s="11" t="s">
        <v>20</v>
      </c>
      <c r="E63" s="11" t="s">
        <v>343</v>
      </c>
      <c r="F63" s="11" t="s">
        <v>344</v>
      </c>
      <c r="G63" s="11" t="s">
        <v>345</v>
      </c>
      <c r="H63" s="11" t="s">
        <v>5</v>
      </c>
      <c r="I63" s="11" t="s">
        <v>43</v>
      </c>
      <c r="J63" s="11" t="s">
        <v>346</v>
      </c>
    </row>
    <row r="64" customFormat="false" ht="15" hidden="false" customHeight="false" outlineLevel="0" collapsed="false">
      <c r="A64" s="11" t="s">
        <v>347</v>
      </c>
      <c r="B64" s="11" t="s">
        <v>14</v>
      </c>
      <c r="C64" s="11" t="s">
        <v>24</v>
      </c>
      <c r="D64" s="11" t="s">
        <v>21</v>
      </c>
      <c r="E64" s="11" t="s">
        <v>348</v>
      </c>
      <c r="F64" s="11" t="s">
        <v>349</v>
      </c>
      <c r="G64" s="11" t="s">
        <v>350</v>
      </c>
      <c r="H64" s="11" t="s">
        <v>5</v>
      </c>
      <c r="I64" s="11" t="s">
        <v>43</v>
      </c>
      <c r="J64" s="11" t="s">
        <v>351</v>
      </c>
    </row>
    <row r="65" customFormat="false" ht="35.05" hidden="false" customHeight="false" outlineLevel="0" collapsed="false">
      <c r="A65" s="11" t="s">
        <v>352</v>
      </c>
      <c r="B65" s="11" t="s">
        <v>14</v>
      </c>
      <c r="C65" s="11" t="s">
        <v>24</v>
      </c>
      <c r="D65" s="11" t="s">
        <v>21</v>
      </c>
      <c r="E65" s="11" t="s">
        <v>353</v>
      </c>
      <c r="F65" s="11" t="s">
        <v>354</v>
      </c>
      <c r="G65" s="11" t="s">
        <v>355</v>
      </c>
      <c r="H65" s="11" t="s">
        <v>5</v>
      </c>
      <c r="I65" s="11" t="s">
        <v>43</v>
      </c>
      <c r="J65" s="11" t="s">
        <v>356</v>
      </c>
    </row>
    <row r="66" customFormat="false" ht="15" hidden="false" customHeight="false" outlineLevel="0" collapsed="false">
      <c r="A66" s="11" t="s">
        <v>357</v>
      </c>
      <c r="B66" s="11" t="s">
        <v>14</v>
      </c>
      <c r="C66" s="11" t="s">
        <v>24</v>
      </c>
      <c r="D66" s="11" t="s">
        <v>20</v>
      </c>
      <c r="E66" s="11" t="s">
        <v>358</v>
      </c>
      <c r="F66" s="11" t="s">
        <v>359</v>
      </c>
      <c r="G66" s="11" t="s">
        <v>360</v>
      </c>
      <c r="H66" s="11" t="s">
        <v>5</v>
      </c>
      <c r="I66" s="11" t="s">
        <v>43</v>
      </c>
      <c r="J66" s="11" t="s">
        <v>361</v>
      </c>
    </row>
    <row r="67" customFormat="false" ht="15" hidden="false" customHeight="false" outlineLevel="0" collapsed="false">
      <c r="A67" s="11" t="s">
        <v>362</v>
      </c>
      <c r="B67" s="11" t="s">
        <v>14</v>
      </c>
      <c r="C67" s="11" t="s">
        <v>24</v>
      </c>
      <c r="D67" s="11" t="s">
        <v>22</v>
      </c>
      <c r="E67" s="11" t="s">
        <v>363</v>
      </c>
      <c r="F67" s="11" t="s">
        <v>364</v>
      </c>
      <c r="G67" s="11" t="s">
        <v>365</v>
      </c>
      <c r="H67" s="11" t="s">
        <v>5</v>
      </c>
      <c r="I67" s="11" t="s">
        <v>43</v>
      </c>
      <c r="J67" s="11" t="s">
        <v>366</v>
      </c>
    </row>
    <row r="68" customFormat="false" ht="23.85" hidden="false" customHeight="false" outlineLevel="0" collapsed="false">
      <c r="A68" s="11" t="s">
        <v>367</v>
      </c>
      <c r="B68" s="11" t="s">
        <v>14</v>
      </c>
      <c r="C68" s="11" t="s">
        <v>24</v>
      </c>
      <c r="D68" s="11" t="s">
        <v>21</v>
      </c>
      <c r="E68" s="11" t="s">
        <v>368</v>
      </c>
      <c r="F68" s="11" t="s">
        <v>369</v>
      </c>
      <c r="G68" s="11" t="s">
        <v>370</v>
      </c>
      <c r="H68" s="11" t="s">
        <v>5</v>
      </c>
      <c r="I68" s="11" t="s">
        <v>43</v>
      </c>
      <c r="J68" s="11" t="s">
        <v>371</v>
      </c>
    </row>
    <row r="69" customFormat="false" ht="23.85" hidden="false" customHeight="false" outlineLevel="0" collapsed="false">
      <c r="A69" s="11" t="s">
        <v>372</v>
      </c>
      <c r="B69" s="11" t="s">
        <v>14</v>
      </c>
      <c r="C69" s="11" t="s">
        <v>24</v>
      </c>
      <c r="D69" s="11" t="s">
        <v>21</v>
      </c>
      <c r="E69" s="11" t="s">
        <v>373</v>
      </c>
      <c r="F69" s="11" t="s">
        <v>374</v>
      </c>
      <c r="G69" s="11" t="s">
        <v>375</v>
      </c>
      <c r="H69" s="11" t="s">
        <v>5</v>
      </c>
      <c r="I69" s="11" t="s">
        <v>43</v>
      </c>
      <c r="J69" s="11" t="s">
        <v>376</v>
      </c>
    </row>
    <row r="70" customFormat="false" ht="46.25" hidden="false" customHeight="false" outlineLevel="0" collapsed="false">
      <c r="A70" s="11" t="s">
        <v>377</v>
      </c>
      <c r="B70" s="11" t="s">
        <v>14</v>
      </c>
      <c r="C70" s="11" t="s">
        <v>24</v>
      </c>
      <c r="D70" s="11" t="s">
        <v>20</v>
      </c>
      <c r="E70" s="11" t="s">
        <v>378</v>
      </c>
      <c r="F70" s="11" t="s">
        <v>379</v>
      </c>
      <c r="G70" s="11" t="s">
        <v>380</v>
      </c>
      <c r="H70" s="11" t="s">
        <v>5</v>
      </c>
      <c r="I70" s="11" t="s">
        <v>43</v>
      </c>
      <c r="J70" s="11" t="s">
        <v>381</v>
      </c>
    </row>
    <row r="71" customFormat="false" ht="57.45" hidden="false" customHeight="false" outlineLevel="0" collapsed="false">
      <c r="A71" s="11" t="s">
        <v>382</v>
      </c>
      <c r="B71" s="11" t="s">
        <v>14</v>
      </c>
      <c r="C71" s="11" t="s">
        <v>24</v>
      </c>
      <c r="D71" s="11" t="s">
        <v>20</v>
      </c>
      <c r="E71" s="11" t="s">
        <v>383</v>
      </c>
      <c r="F71" s="11" t="s">
        <v>384</v>
      </c>
      <c r="G71" s="11" t="s">
        <v>385</v>
      </c>
      <c r="H71" s="11" t="s">
        <v>5</v>
      </c>
      <c r="I71" s="11" t="s">
        <v>43</v>
      </c>
      <c r="J71" s="11" t="s">
        <v>386</v>
      </c>
    </row>
    <row r="72" customFormat="false" ht="35.05" hidden="false" customHeight="false" outlineLevel="0" collapsed="false">
      <c r="A72" s="11" t="s">
        <v>387</v>
      </c>
      <c r="B72" s="11" t="s">
        <v>15</v>
      </c>
      <c r="C72" s="11" t="s">
        <v>24</v>
      </c>
      <c r="D72" s="11" t="s">
        <v>20</v>
      </c>
      <c r="E72" s="11" t="s">
        <v>388</v>
      </c>
      <c r="F72" s="11" t="s">
        <v>389</v>
      </c>
      <c r="G72" s="11" t="s">
        <v>390</v>
      </c>
      <c r="H72" s="11" t="s">
        <v>5</v>
      </c>
      <c r="I72" s="11" t="s">
        <v>43</v>
      </c>
      <c r="J72" s="11" t="s">
        <v>391</v>
      </c>
    </row>
    <row r="73" customFormat="false" ht="23.85" hidden="false" customHeight="false" outlineLevel="0" collapsed="false">
      <c r="A73" s="11" t="s">
        <v>392</v>
      </c>
      <c r="B73" s="11" t="s">
        <v>15</v>
      </c>
      <c r="C73" s="11" t="s">
        <v>24</v>
      </c>
      <c r="D73" s="11" t="s">
        <v>20</v>
      </c>
      <c r="E73" s="11" t="s">
        <v>393</v>
      </c>
      <c r="F73" s="11" t="s">
        <v>394</v>
      </c>
      <c r="G73" s="11" t="s">
        <v>395</v>
      </c>
      <c r="H73" s="11" t="s">
        <v>5</v>
      </c>
      <c r="I73" s="11" t="s">
        <v>43</v>
      </c>
      <c r="J73" s="11" t="s">
        <v>396</v>
      </c>
    </row>
    <row r="74" customFormat="false" ht="23.85" hidden="false" customHeight="false" outlineLevel="0" collapsed="false">
      <c r="A74" s="11" t="s">
        <v>397</v>
      </c>
      <c r="B74" s="11" t="s">
        <v>15</v>
      </c>
      <c r="C74" s="11" t="s">
        <v>24</v>
      </c>
      <c r="D74" s="11" t="s">
        <v>21</v>
      </c>
      <c r="E74" s="11" t="s">
        <v>398</v>
      </c>
      <c r="F74" s="11" t="s">
        <v>399</v>
      </c>
      <c r="G74" s="11" t="s">
        <v>400</v>
      </c>
      <c r="H74" s="11" t="s">
        <v>5</v>
      </c>
      <c r="I74" s="11" t="s">
        <v>43</v>
      </c>
      <c r="J74" s="11" t="s">
        <v>401</v>
      </c>
    </row>
    <row r="75" customFormat="false" ht="23.85" hidden="false" customHeight="false" outlineLevel="0" collapsed="false">
      <c r="A75" s="11" t="s">
        <v>402</v>
      </c>
      <c r="B75" s="11" t="s">
        <v>15</v>
      </c>
      <c r="C75" s="11" t="s">
        <v>24</v>
      </c>
      <c r="D75" s="11" t="s">
        <v>20</v>
      </c>
      <c r="E75" s="11" t="s">
        <v>403</v>
      </c>
      <c r="F75" s="11" t="s">
        <v>404</v>
      </c>
      <c r="G75" s="11" t="s">
        <v>405</v>
      </c>
      <c r="H75" s="11" t="s">
        <v>5</v>
      </c>
      <c r="I75" s="11" t="s">
        <v>43</v>
      </c>
      <c r="J75" s="11" t="s">
        <v>406</v>
      </c>
    </row>
    <row r="76" customFormat="false" ht="23.85" hidden="false" customHeight="false" outlineLevel="0" collapsed="false">
      <c r="A76" s="11" t="s">
        <v>407</v>
      </c>
      <c r="B76" s="11" t="s">
        <v>16</v>
      </c>
      <c r="C76" s="11" t="s">
        <v>24</v>
      </c>
      <c r="D76" s="11" t="s">
        <v>20</v>
      </c>
      <c r="E76" s="11" t="s">
        <v>408</v>
      </c>
      <c r="F76" s="11" t="s">
        <v>409</v>
      </c>
      <c r="G76" s="11" t="s">
        <v>410</v>
      </c>
      <c r="H76" s="11" t="s">
        <v>5</v>
      </c>
      <c r="I76" s="11" t="s">
        <v>43</v>
      </c>
      <c r="J76" s="11" t="s">
        <v>411</v>
      </c>
    </row>
    <row r="77" customFormat="false" ht="15" hidden="false" customHeight="false" outlineLevel="0" collapsed="false">
      <c r="A77" s="11" t="s">
        <v>412</v>
      </c>
      <c r="B77" s="11" t="s">
        <v>16</v>
      </c>
      <c r="C77" s="11" t="s">
        <v>24</v>
      </c>
      <c r="D77" s="11" t="s">
        <v>21</v>
      </c>
      <c r="E77" s="11" t="s">
        <v>413</v>
      </c>
      <c r="F77" s="11" t="s">
        <v>414</v>
      </c>
      <c r="G77" s="11" t="s">
        <v>415</v>
      </c>
      <c r="H77" s="11" t="s">
        <v>5</v>
      </c>
      <c r="I77" s="11" t="s">
        <v>43</v>
      </c>
      <c r="J77" s="11" t="s">
        <v>416</v>
      </c>
    </row>
    <row r="78" customFormat="false" ht="23.85" hidden="false" customHeight="false" outlineLevel="0" collapsed="false">
      <c r="A78" s="11" t="s">
        <v>417</v>
      </c>
      <c r="B78" s="11" t="s">
        <v>17</v>
      </c>
      <c r="C78" s="11" t="s">
        <v>25</v>
      </c>
      <c r="D78" s="11" t="s">
        <v>20</v>
      </c>
      <c r="E78" s="11" t="s">
        <v>418</v>
      </c>
      <c r="F78" s="11" t="s">
        <v>419</v>
      </c>
      <c r="G78" s="11" t="s">
        <v>420</v>
      </c>
      <c r="H78" s="11" t="s">
        <v>5</v>
      </c>
      <c r="I78" s="11" t="s">
        <v>43</v>
      </c>
      <c r="J78" s="11" t="s">
        <v>421</v>
      </c>
    </row>
    <row r="79" customFormat="false" ht="35.05" hidden="false" customHeight="false" outlineLevel="0" collapsed="false">
      <c r="A79" s="11" t="s">
        <v>422</v>
      </c>
      <c r="B79" s="11" t="s">
        <v>17</v>
      </c>
      <c r="C79" s="11" t="s">
        <v>25</v>
      </c>
      <c r="D79" s="11" t="s">
        <v>21</v>
      </c>
      <c r="E79" s="11" t="s">
        <v>423</v>
      </c>
      <c r="F79" s="11" t="s">
        <v>424</v>
      </c>
      <c r="G79" s="11" t="s">
        <v>425</v>
      </c>
      <c r="H79" s="11" t="s">
        <v>5</v>
      </c>
      <c r="I79" s="11" t="s">
        <v>43</v>
      </c>
      <c r="J79" s="11" t="s">
        <v>426</v>
      </c>
    </row>
    <row r="80" customFormat="false" ht="23.85" hidden="false" customHeight="false" outlineLevel="0" collapsed="false">
      <c r="A80" s="11" t="s">
        <v>427</v>
      </c>
      <c r="B80" s="11" t="s">
        <v>17</v>
      </c>
      <c r="C80" s="11" t="s">
        <v>25</v>
      </c>
      <c r="D80" s="11" t="s">
        <v>20</v>
      </c>
      <c r="E80" s="11" t="s">
        <v>428</v>
      </c>
      <c r="F80" s="11" t="s">
        <v>429</v>
      </c>
      <c r="G80" s="11" t="s">
        <v>430</v>
      </c>
      <c r="H80" s="11" t="s">
        <v>5</v>
      </c>
      <c r="I80" s="11" t="s">
        <v>43</v>
      </c>
      <c r="J80" s="11" t="s">
        <v>431</v>
      </c>
    </row>
    <row r="81" customFormat="false" ht="35.05" hidden="false" customHeight="false" outlineLevel="0" collapsed="false">
      <c r="A81" s="11" t="s">
        <v>432</v>
      </c>
      <c r="B81" s="11" t="s">
        <v>17</v>
      </c>
      <c r="C81" s="11" t="s">
        <v>25</v>
      </c>
      <c r="D81" s="11" t="s">
        <v>20</v>
      </c>
      <c r="E81" s="11" t="s">
        <v>433</v>
      </c>
      <c r="F81" s="11" t="s">
        <v>434</v>
      </c>
      <c r="G81" s="11" t="s">
        <v>435</v>
      </c>
      <c r="H81" s="11" t="s">
        <v>5</v>
      </c>
      <c r="I81" s="11" t="s">
        <v>43</v>
      </c>
      <c r="J81" s="11" t="s">
        <v>436</v>
      </c>
    </row>
    <row r="82" customFormat="false" ht="46.25" hidden="false" customHeight="false" outlineLevel="0" collapsed="false">
      <c r="A82" s="11" t="s">
        <v>437</v>
      </c>
      <c r="B82" s="11" t="s">
        <v>17</v>
      </c>
      <c r="C82" s="11" t="s">
        <v>25</v>
      </c>
      <c r="D82" s="11" t="s">
        <v>20</v>
      </c>
      <c r="E82" s="11" t="s">
        <v>438</v>
      </c>
      <c r="F82" s="11" t="s">
        <v>439</v>
      </c>
      <c r="G82" s="11" t="s">
        <v>440</v>
      </c>
      <c r="H82" s="11" t="s">
        <v>5</v>
      </c>
      <c r="I82" s="11" t="s">
        <v>43</v>
      </c>
      <c r="J82" s="11" t="s">
        <v>441</v>
      </c>
    </row>
    <row r="83" customFormat="false" ht="23.85" hidden="false" customHeight="false" outlineLevel="0" collapsed="false">
      <c r="A83" s="11" t="s">
        <v>442</v>
      </c>
      <c r="B83" s="11" t="s">
        <v>17</v>
      </c>
      <c r="C83" s="11" t="s">
        <v>25</v>
      </c>
      <c r="D83" s="11" t="s">
        <v>20</v>
      </c>
      <c r="E83" s="11" t="s">
        <v>443</v>
      </c>
      <c r="F83" s="11" t="s">
        <v>444</v>
      </c>
      <c r="G83" s="11" t="s">
        <v>445</v>
      </c>
      <c r="H83" s="11" t="s">
        <v>5</v>
      </c>
      <c r="I83" s="11" t="s">
        <v>43</v>
      </c>
      <c r="J83" s="11" t="s">
        <v>446</v>
      </c>
    </row>
    <row r="84" customFormat="false" ht="35.05" hidden="false" customHeight="false" outlineLevel="0" collapsed="false">
      <c r="A84" s="11" t="s">
        <v>447</v>
      </c>
      <c r="B84" s="11" t="s">
        <v>17</v>
      </c>
      <c r="C84" s="11" t="s">
        <v>25</v>
      </c>
      <c r="D84" s="11" t="s">
        <v>20</v>
      </c>
      <c r="E84" s="11" t="s">
        <v>448</v>
      </c>
      <c r="F84" s="11" t="s">
        <v>449</v>
      </c>
      <c r="G84" s="11" t="s">
        <v>450</v>
      </c>
      <c r="H84" s="11" t="s">
        <v>5</v>
      </c>
      <c r="I84" s="11" t="s">
        <v>43</v>
      </c>
      <c r="J84" s="11" t="s">
        <v>451</v>
      </c>
    </row>
    <row r="85" customFormat="false" ht="23.85" hidden="false" customHeight="false" outlineLevel="0" collapsed="false">
      <c r="A85" s="11" t="s">
        <v>452</v>
      </c>
      <c r="B85" s="11" t="s">
        <v>17</v>
      </c>
      <c r="C85" s="11" t="s">
        <v>25</v>
      </c>
      <c r="D85" s="11" t="s">
        <v>20</v>
      </c>
      <c r="E85" s="11" t="s">
        <v>453</v>
      </c>
      <c r="F85" s="11" t="s">
        <v>454</v>
      </c>
      <c r="G85" s="11" t="s">
        <v>455</v>
      </c>
      <c r="H85" s="11" t="s">
        <v>5</v>
      </c>
      <c r="I85" s="11" t="s">
        <v>43</v>
      </c>
      <c r="J85" s="11" t="s">
        <v>456</v>
      </c>
    </row>
    <row r="86" customFormat="false" ht="35.05" hidden="false" customHeight="false" outlineLevel="0" collapsed="false">
      <c r="A86" s="11" t="s">
        <v>457</v>
      </c>
      <c r="B86" s="11" t="s">
        <v>17</v>
      </c>
      <c r="C86" s="11" t="s">
        <v>25</v>
      </c>
      <c r="D86" s="11" t="s">
        <v>20</v>
      </c>
      <c r="E86" s="11" t="s">
        <v>458</v>
      </c>
      <c r="F86" s="11" t="s">
        <v>459</v>
      </c>
      <c r="G86" s="11" t="s">
        <v>460</v>
      </c>
      <c r="H86" s="11" t="s">
        <v>5</v>
      </c>
      <c r="I86" s="11" t="s">
        <v>43</v>
      </c>
      <c r="J86" s="11" t="s">
        <v>461</v>
      </c>
    </row>
    <row r="87" customFormat="false" ht="15" hidden="false" customHeight="false" outlineLevel="0" collapsed="false">
      <c r="A87" s="11" t="s">
        <v>462</v>
      </c>
      <c r="B87" s="11" t="s">
        <v>17</v>
      </c>
      <c r="C87" s="11" t="s">
        <v>25</v>
      </c>
      <c r="D87" s="11" t="s">
        <v>21</v>
      </c>
      <c r="E87" s="11" t="s">
        <v>463</v>
      </c>
      <c r="F87" s="11" t="s">
        <v>464</v>
      </c>
      <c r="G87" s="11" t="s">
        <v>465</v>
      </c>
      <c r="H87" s="11" t="s">
        <v>5</v>
      </c>
      <c r="I87" s="11" t="s">
        <v>43</v>
      </c>
      <c r="J87" s="11" t="s">
        <v>466</v>
      </c>
    </row>
    <row r="88" customFormat="false" ht="35.05" hidden="false" customHeight="false" outlineLevel="0" collapsed="false">
      <c r="A88" s="11" t="s">
        <v>467</v>
      </c>
      <c r="B88" s="11" t="s">
        <v>17</v>
      </c>
      <c r="C88" s="11" t="s">
        <v>25</v>
      </c>
      <c r="D88" s="11" t="s">
        <v>21</v>
      </c>
      <c r="E88" s="11" t="s">
        <v>468</v>
      </c>
      <c r="F88" s="11" t="s">
        <v>469</v>
      </c>
      <c r="G88" s="11" t="s">
        <v>470</v>
      </c>
      <c r="H88" s="11" t="s">
        <v>5</v>
      </c>
      <c r="I88" s="11" t="s">
        <v>43</v>
      </c>
      <c r="J88" s="11" t="s">
        <v>471</v>
      </c>
    </row>
    <row r="89" customFormat="false" ht="57.45" hidden="false" customHeight="false" outlineLevel="0" collapsed="false">
      <c r="A89" s="11" t="s">
        <v>472</v>
      </c>
      <c r="B89" s="11" t="s">
        <v>17</v>
      </c>
      <c r="C89" s="11" t="s">
        <v>25</v>
      </c>
      <c r="D89" s="11" t="s">
        <v>20</v>
      </c>
      <c r="E89" s="11" t="s">
        <v>473</v>
      </c>
      <c r="F89" s="11" t="s">
        <v>474</v>
      </c>
      <c r="G89" s="11" t="s">
        <v>475</v>
      </c>
      <c r="H89" s="11" t="s">
        <v>5</v>
      </c>
      <c r="I89" s="11" t="s">
        <v>43</v>
      </c>
      <c r="J89" s="11" t="s">
        <v>476</v>
      </c>
    </row>
    <row r="90" customFormat="false" ht="68.65" hidden="false" customHeight="false" outlineLevel="0" collapsed="false">
      <c r="A90" s="11" t="s">
        <v>477</v>
      </c>
      <c r="B90" s="11" t="s">
        <v>17</v>
      </c>
      <c r="C90" s="11" t="s">
        <v>25</v>
      </c>
      <c r="D90" s="11" t="s">
        <v>20</v>
      </c>
      <c r="E90" s="11" t="s">
        <v>478</v>
      </c>
      <c r="F90" s="11" t="s">
        <v>479</v>
      </c>
      <c r="G90" s="11" t="s">
        <v>480</v>
      </c>
      <c r="H90" s="11" t="s">
        <v>5</v>
      </c>
      <c r="I90" s="11" t="s">
        <v>43</v>
      </c>
      <c r="J90" s="11" t="s">
        <v>481</v>
      </c>
    </row>
    <row r="91" customFormat="false" ht="23.85" hidden="false" customHeight="false" outlineLevel="0" collapsed="false">
      <c r="A91" s="11" t="s">
        <v>482</v>
      </c>
      <c r="B91" s="11" t="s">
        <v>17</v>
      </c>
      <c r="C91" s="11" t="s">
        <v>25</v>
      </c>
      <c r="D91" s="11" t="s">
        <v>20</v>
      </c>
      <c r="E91" s="11" t="s">
        <v>483</v>
      </c>
      <c r="F91" s="11" t="s">
        <v>484</v>
      </c>
      <c r="G91" s="11" t="s">
        <v>485</v>
      </c>
      <c r="H91" s="11" t="s">
        <v>5</v>
      </c>
      <c r="I91" s="11" t="s">
        <v>43</v>
      </c>
      <c r="J91" s="11" t="s">
        <v>486</v>
      </c>
    </row>
    <row r="92" customFormat="false" ht="23.85" hidden="false" customHeight="false" outlineLevel="0" collapsed="false">
      <c r="A92" s="11" t="s">
        <v>487</v>
      </c>
      <c r="B92" s="11" t="s">
        <v>17</v>
      </c>
      <c r="C92" s="11" t="s">
        <v>25</v>
      </c>
      <c r="D92" s="11" t="s">
        <v>21</v>
      </c>
      <c r="E92" s="11" t="s">
        <v>488</v>
      </c>
      <c r="F92" s="11" t="s">
        <v>489</v>
      </c>
      <c r="G92" s="11" t="s">
        <v>490</v>
      </c>
      <c r="H92" s="11" t="s">
        <v>5</v>
      </c>
      <c r="I92" s="11" t="s">
        <v>43</v>
      </c>
      <c r="J92" s="11" t="s">
        <v>491</v>
      </c>
    </row>
    <row r="93" customFormat="false" ht="23.85" hidden="false" customHeight="false" outlineLevel="0" collapsed="false">
      <c r="A93" s="11" t="s">
        <v>492</v>
      </c>
      <c r="B93" s="11" t="s">
        <v>17</v>
      </c>
      <c r="C93" s="11" t="s">
        <v>25</v>
      </c>
      <c r="D93" s="11" t="s">
        <v>21</v>
      </c>
      <c r="E93" s="11" t="s">
        <v>493</v>
      </c>
      <c r="F93" s="11" t="s">
        <v>494</v>
      </c>
      <c r="G93" s="11" t="s">
        <v>495</v>
      </c>
      <c r="H93" s="11" t="s">
        <v>5</v>
      </c>
      <c r="I93" s="11" t="s">
        <v>43</v>
      </c>
      <c r="J93" s="11" t="s">
        <v>496</v>
      </c>
    </row>
    <row r="94" customFormat="false" ht="23.85" hidden="false" customHeight="false" outlineLevel="0" collapsed="false">
      <c r="A94" s="11" t="s">
        <v>497</v>
      </c>
      <c r="B94" s="11" t="s">
        <v>17</v>
      </c>
      <c r="C94" s="11" t="s">
        <v>25</v>
      </c>
      <c r="D94" s="11" t="s">
        <v>20</v>
      </c>
      <c r="E94" s="11" t="s">
        <v>498</v>
      </c>
      <c r="F94" s="11" t="s">
        <v>499</v>
      </c>
      <c r="G94" s="11" t="s">
        <v>500</v>
      </c>
      <c r="H94" s="11" t="s">
        <v>5</v>
      </c>
      <c r="I94" s="11" t="s">
        <v>43</v>
      </c>
      <c r="J94" s="11" t="s">
        <v>501</v>
      </c>
    </row>
    <row r="95" customFormat="false" ht="57.45" hidden="false" customHeight="false" outlineLevel="0" collapsed="false">
      <c r="A95" s="11" t="s">
        <v>502</v>
      </c>
      <c r="B95" s="11" t="s">
        <v>17</v>
      </c>
      <c r="C95" s="11" t="s">
        <v>25</v>
      </c>
      <c r="D95" s="11" t="s">
        <v>20</v>
      </c>
      <c r="E95" s="11" t="s">
        <v>503</v>
      </c>
      <c r="F95" s="11" t="s">
        <v>504</v>
      </c>
      <c r="G95" s="11" t="s">
        <v>505</v>
      </c>
      <c r="H95" s="11" t="s">
        <v>5</v>
      </c>
      <c r="I95" s="11" t="s">
        <v>43</v>
      </c>
      <c r="J95" s="11" t="s">
        <v>506</v>
      </c>
    </row>
    <row r="96" customFormat="false" ht="46.25" hidden="false" customHeight="false" outlineLevel="0" collapsed="false">
      <c r="A96" s="11" t="s">
        <v>507</v>
      </c>
      <c r="B96" s="11" t="s">
        <v>17</v>
      </c>
      <c r="C96" s="11" t="s">
        <v>25</v>
      </c>
      <c r="D96" s="11" t="s">
        <v>20</v>
      </c>
      <c r="E96" s="11" t="s">
        <v>508</v>
      </c>
      <c r="F96" s="11" t="s">
        <v>509</v>
      </c>
      <c r="G96" s="11" t="s">
        <v>510</v>
      </c>
      <c r="H96" s="11" t="s">
        <v>5</v>
      </c>
      <c r="I96" s="11" t="s">
        <v>43</v>
      </c>
      <c r="J96" s="11" t="s">
        <v>511</v>
      </c>
    </row>
    <row r="97" customFormat="false" ht="23.85" hidden="false" customHeight="false" outlineLevel="0" collapsed="false">
      <c r="A97" s="11" t="s">
        <v>512</v>
      </c>
      <c r="B97" s="11" t="s">
        <v>17</v>
      </c>
      <c r="C97" s="11" t="s">
        <v>25</v>
      </c>
      <c r="D97" s="11" t="s">
        <v>21</v>
      </c>
      <c r="E97" s="11" t="s">
        <v>513</v>
      </c>
      <c r="F97" s="11" t="s">
        <v>514</v>
      </c>
      <c r="G97" s="11" t="s">
        <v>515</v>
      </c>
      <c r="H97" s="11" t="s">
        <v>5</v>
      </c>
      <c r="I97" s="11" t="s">
        <v>43</v>
      </c>
      <c r="J97" s="11" t="s">
        <v>516</v>
      </c>
    </row>
    <row r="98" customFormat="false" ht="15" hidden="false" customHeight="false" outlineLevel="0" collapsed="false">
      <c r="A98" s="11" t="s">
        <v>517</v>
      </c>
      <c r="B98" s="11" t="s">
        <v>17</v>
      </c>
      <c r="C98" s="11" t="s">
        <v>25</v>
      </c>
      <c r="D98" s="11" t="s">
        <v>21</v>
      </c>
      <c r="E98" s="11" t="s">
        <v>518</v>
      </c>
      <c r="F98" s="11" t="s">
        <v>519</v>
      </c>
      <c r="G98" s="11" t="s">
        <v>520</v>
      </c>
      <c r="H98" s="11" t="s">
        <v>5</v>
      </c>
      <c r="I98" s="11" t="s">
        <v>43</v>
      </c>
      <c r="J98" s="11" t="s">
        <v>521</v>
      </c>
    </row>
    <row r="99" customFormat="false" ht="46.25" hidden="false" customHeight="false" outlineLevel="0" collapsed="false">
      <c r="A99" s="11" t="s">
        <v>522</v>
      </c>
      <c r="B99" s="11" t="s">
        <v>17</v>
      </c>
      <c r="C99" s="11" t="s">
        <v>25</v>
      </c>
      <c r="D99" s="11" t="s">
        <v>20</v>
      </c>
      <c r="E99" s="11" t="s">
        <v>523</v>
      </c>
      <c r="F99" s="11" t="s">
        <v>524</v>
      </c>
      <c r="G99" s="11" t="s">
        <v>525</v>
      </c>
      <c r="H99" s="11" t="s">
        <v>5</v>
      </c>
      <c r="I99" s="11" t="s">
        <v>43</v>
      </c>
      <c r="J99" s="11" t="s">
        <v>526</v>
      </c>
    </row>
    <row r="100" customFormat="false" ht="23.85" hidden="false" customHeight="false" outlineLevel="0" collapsed="false">
      <c r="A100" s="11" t="s">
        <v>527</v>
      </c>
      <c r="B100" s="11" t="s">
        <v>17</v>
      </c>
      <c r="C100" s="11" t="s">
        <v>25</v>
      </c>
      <c r="D100" s="11" t="s">
        <v>20</v>
      </c>
      <c r="E100" s="11" t="s">
        <v>528</v>
      </c>
      <c r="F100" s="11" t="s">
        <v>529</v>
      </c>
      <c r="G100" s="11" t="s">
        <v>530</v>
      </c>
      <c r="H100" s="11" t="s">
        <v>5</v>
      </c>
      <c r="I100" s="11" t="s">
        <v>43</v>
      </c>
      <c r="J100" s="11" t="s">
        <v>531</v>
      </c>
    </row>
    <row r="101" customFormat="false" ht="15" hidden="false" customHeight="false" outlineLevel="0" collapsed="false">
      <c r="A101" s="11" t="s">
        <v>532</v>
      </c>
      <c r="B101" s="11" t="s">
        <v>17</v>
      </c>
      <c r="C101" s="11" t="s">
        <v>25</v>
      </c>
      <c r="D101" s="11" t="s">
        <v>21</v>
      </c>
      <c r="E101" s="11" t="s">
        <v>533</v>
      </c>
      <c r="F101" s="11" t="s">
        <v>534</v>
      </c>
      <c r="G101" s="11" t="s">
        <v>535</v>
      </c>
      <c r="H101" s="11" t="s">
        <v>5</v>
      </c>
      <c r="I101" s="11" t="s">
        <v>43</v>
      </c>
      <c r="J101" s="11" t="s">
        <v>536</v>
      </c>
    </row>
    <row r="102" customFormat="false" ht="23.85" hidden="false" customHeight="false" outlineLevel="0" collapsed="false">
      <c r="A102" s="11" t="s">
        <v>537</v>
      </c>
      <c r="B102" s="11" t="s">
        <v>17</v>
      </c>
      <c r="C102" s="11" t="s">
        <v>25</v>
      </c>
      <c r="D102" s="11" t="s">
        <v>21</v>
      </c>
      <c r="E102" s="11" t="s">
        <v>538</v>
      </c>
      <c r="F102" s="11" t="s">
        <v>539</v>
      </c>
      <c r="G102" s="11" t="s">
        <v>540</v>
      </c>
      <c r="H102" s="11" t="s">
        <v>5</v>
      </c>
      <c r="I102" s="11" t="s">
        <v>43</v>
      </c>
      <c r="J102" s="11" t="s">
        <v>541</v>
      </c>
    </row>
    <row r="103" customFormat="false" ht="23.85" hidden="false" customHeight="false" outlineLevel="0" collapsed="false">
      <c r="A103" s="11" t="s">
        <v>542</v>
      </c>
      <c r="B103" s="11" t="s">
        <v>17</v>
      </c>
      <c r="C103" s="11" t="s">
        <v>25</v>
      </c>
      <c r="D103" s="11" t="s">
        <v>21</v>
      </c>
      <c r="E103" s="11" t="s">
        <v>543</v>
      </c>
      <c r="F103" s="11" t="s">
        <v>544</v>
      </c>
      <c r="G103" s="11" t="s">
        <v>545</v>
      </c>
      <c r="H103" s="11" t="s">
        <v>5</v>
      </c>
      <c r="I103" s="11" t="s">
        <v>43</v>
      </c>
      <c r="J103" s="11" t="s">
        <v>546</v>
      </c>
    </row>
    <row r="104" customFormat="false" ht="23.85" hidden="false" customHeight="false" outlineLevel="0" collapsed="false">
      <c r="A104" s="11" t="s">
        <v>547</v>
      </c>
      <c r="B104" s="11" t="s">
        <v>17</v>
      </c>
      <c r="C104" s="11" t="s">
        <v>25</v>
      </c>
      <c r="D104" s="11" t="s">
        <v>22</v>
      </c>
      <c r="E104" s="11" t="s">
        <v>548</v>
      </c>
      <c r="F104" s="11" t="s">
        <v>549</v>
      </c>
      <c r="G104" s="11" t="s">
        <v>550</v>
      </c>
      <c r="H104" s="11" t="s">
        <v>5</v>
      </c>
      <c r="I104" s="11" t="s">
        <v>43</v>
      </c>
      <c r="J104" s="11" t="s">
        <v>551</v>
      </c>
    </row>
    <row r="105" customFormat="false" ht="23.85" hidden="false" customHeight="false" outlineLevel="0" collapsed="false">
      <c r="A105" s="11" t="s">
        <v>552</v>
      </c>
      <c r="B105" s="11" t="s">
        <v>17</v>
      </c>
      <c r="C105" s="11" t="s">
        <v>25</v>
      </c>
      <c r="D105" s="11" t="s">
        <v>21</v>
      </c>
      <c r="E105" s="11" t="s">
        <v>553</v>
      </c>
      <c r="F105" s="11" t="s">
        <v>554</v>
      </c>
      <c r="G105" s="11" t="s">
        <v>555</v>
      </c>
      <c r="H105" s="11" t="s">
        <v>5</v>
      </c>
      <c r="I105" s="11" t="s">
        <v>43</v>
      </c>
      <c r="J105" s="11" t="s">
        <v>556</v>
      </c>
    </row>
    <row r="106" customFormat="false" ht="35.05" hidden="false" customHeight="false" outlineLevel="0" collapsed="false">
      <c r="A106" s="11" t="s">
        <v>557</v>
      </c>
      <c r="B106" s="11" t="s">
        <v>17</v>
      </c>
      <c r="C106" s="11" t="s">
        <v>25</v>
      </c>
      <c r="D106" s="11" t="s">
        <v>21</v>
      </c>
      <c r="E106" s="11" t="s">
        <v>558</v>
      </c>
      <c r="F106" s="11" t="s">
        <v>559</v>
      </c>
      <c r="G106" s="11" t="s">
        <v>560</v>
      </c>
      <c r="H106" s="11" t="s">
        <v>5</v>
      </c>
      <c r="I106" s="11" t="s">
        <v>43</v>
      </c>
      <c r="J106" s="11" t="s">
        <v>561</v>
      </c>
    </row>
    <row r="107" customFormat="false" ht="35.05" hidden="false" customHeight="false" outlineLevel="0" collapsed="false">
      <c r="A107" s="11" t="s">
        <v>562</v>
      </c>
      <c r="B107" s="11" t="s">
        <v>17</v>
      </c>
      <c r="C107" s="11" t="s">
        <v>25</v>
      </c>
      <c r="D107" s="11" t="s">
        <v>20</v>
      </c>
      <c r="E107" s="11" t="s">
        <v>563</v>
      </c>
      <c r="F107" s="11" t="s">
        <v>564</v>
      </c>
      <c r="G107" s="11" t="s">
        <v>565</v>
      </c>
      <c r="H107" s="11" t="s">
        <v>5</v>
      </c>
      <c r="I107" s="11" t="s">
        <v>43</v>
      </c>
      <c r="J107" s="11" t="s">
        <v>566</v>
      </c>
    </row>
    <row r="108" customFormat="false" ht="68.65" hidden="false" customHeight="false" outlineLevel="0" collapsed="false">
      <c r="A108" s="11" t="s">
        <v>567</v>
      </c>
      <c r="B108" s="11" t="s">
        <v>17</v>
      </c>
      <c r="C108" s="11" t="s">
        <v>25</v>
      </c>
      <c r="D108" s="11" t="s">
        <v>20</v>
      </c>
      <c r="E108" s="11" t="s">
        <v>568</v>
      </c>
      <c r="F108" s="11" t="s">
        <v>569</v>
      </c>
      <c r="G108" s="11" t="s">
        <v>570</v>
      </c>
      <c r="H108" s="11" t="s">
        <v>5</v>
      </c>
      <c r="I108" s="11" t="s">
        <v>43</v>
      </c>
      <c r="J108" s="11" t="s">
        <v>571</v>
      </c>
    </row>
    <row r="109" customFormat="false" ht="35.05" hidden="false" customHeight="false" outlineLevel="0" collapsed="false">
      <c r="A109" s="11" t="s">
        <v>572</v>
      </c>
      <c r="B109" s="11" t="s">
        <v>17</v>
      </c>
      <c r="C109" s="11" t="s">
        <v>25</v>
      </c>
      <c r="D109" s="11" t="s">
        <v>20</v>
      </c>
      <c r="E109" s="11" t="s">
        <v>573</v>
      </c>
      <c r="F109" s="11" t="s">
        <v>574</v>
      </c>
      <c r="G109" s="11" t="s">
        <v>575</v>
      </c>
      <c r="H109" s="11" t="s">
        <v>5</v>
      </c>
      <c r="I109" s="11" t="s">
        <v>43</v>
      </c>
      <c r="J109" s="11" t="s">
        <v>576</v>
      </c>
    </row>
    <row r="110" customFormat="false" ht="23.85" hidden="false" customHeight="false" outlineLevel="0" collapsed="false">
      <c r="A110" s="11" t="s">
        <v>577</v>
      </c>
      <c r="B110" s="11" t="s">
        <v>17</v>
      </c>
      <c r="C110" s="11" t="s">
        <v>25</v>
      </c>
      <c r="D110" s="11" t="s">
        <v>20</v>
      </c>
      <c r="E110" s="11" t="s">
        <v>578</v>
      </c>
      <c r="F110" s="11" t="s">
        <v>579</v>
      </c>
      <c r="G110" s="11" t="s">
        <v>580</v>
      </c>
      <c r="H110" s="11" t="s">
        <v>5</v>
      </c>
      <c r="I110" s="11" t="s">
        <v>43</v>
      </c>
      <c r="J110" s="11" t="s">
        <v>581</v>
      </c>
    </row>
    <row r="111" customFormat="false" ht="35.05" hidden="false" customHeight="false" outlineLevel="0" collapsed="false">
      <c r="A111" s="11" t="s">
        <v>582</v>
      </c>
      <c r="B111" s="11" t="s">
        <v>17</v>
      </c>
      <c r="C111" s="11" t="s">
        <v>25</v>
      </c>
      <c r="D111" s="11" t="s">
        <v>21</v>
      </c>
      <c r="E111" s="11" t="s">
        <v>583</v>
      </c>
      <c r="F111" s="11" t="s">
        <v>584</v>
      </c>
      <c r="G111" s="11" t="s">
        <v>585</v>
      </c>
      <c r="H111" s="11" t="s">
        <v>5</v>
      </c>
      <c r="I111" s="11" t="s">
        <v>43</v>
      </c>
      <c r="J111" s="11" t="s">
        <v>586</v>
      </c>
    </row>
    <row r="112" customFormat="false" ht="23.85" hidden="false" customHeight="false" outlineLevel="0" collapsed="false">
      <c r="A112" s="11" t="s">
        <v>587</v>
      </c>
      <c r="B112" s="11" t="s">
        <v>17</v>
      </c>
      <c r="C112" s="11" t="s">
        <v>25</v>
      </c>
      <c r="D112" s="11" t="s">
        <v>21</v>
      </c>
      <c r="E112" s="11" t="s">
        <v>588</v>
      </c>
      <c r="F112" s="11" t="s">
        <v>589</v>
      </c>
      <c r="G112" s="11" t="s">
        <v>590</v>
      </c>
      <c r="H112" s="11" t="s">
        <v>5</v>
      </c>
      <c r="I112" s="11" t="s">
        <v>43</v>
      </c>
      <c r="J112" s="11" t="s">
        <v>591</v>
      </c>
    </row>
    <row r="113" customFormat="false" ht="23.85" hidden="false" customHeight="false" outlineLevel="0" collapsed="false">
      <c r="A113" s="11" t="s">
        <v>592</v>
      </c>
      <c r="B113" s="11" t="s">
        <v>17</v>
      </c>
      <c r="C113" s="11" t="s">
        <v>25</v>
      </c>
      <c r="D113" s="11" t="s">
        <v>21</v>
      </c>
      <c r="E113" s="11" t="s">
        <v>593</v>
      </c>
      <c r="F113" s="11" t="s">
        <v>594</v>
      </c>
      <c r="G113" s="11" t="s">
        <v>595</v>
      </c>
      <c r="H113" s="11" t="s">
        <v>5</v>
      </c>
      <c r="I113" s="11" t="s">
        <v>43</v>
      </c>
      <c r="J113" s="11" t="s">
        <v>596</v>
      </c>
    </row>
    <row r="114" customFormat="false" ht="35.05" hidden="false" customHeight="false" outlineLevel="0" collapsed="false">
      <c r="A114" s="11" t="s">
        <v>597</v>
      </c>
      <c r="B114" s="11" t="s">
        <v>17</v>
      </c>
      <c r="C114" s="11" t="s">
        <v>25</v>
      </c>
      <c r="D114" s="11" t="s">
        <v>21</v>
      </c>
      <c r="E114" s="11" t="s">
        <v>598</v>
      </c>
      <c r="F114" s="11" t="s">
        <v>599</v>
      </c>
      <c r="G114" s="11" t="s">
        <v>600</v>
      </c>
      <c r="H114" s="11" t="s">
        <v>5</v>
      </c>
      <c r="I114" s="11" t="s">
        <v>43</v>
      </c>
      <c r="J114" s="11" t="s">
        <v>601</v>
      </c>
    </row>
    <row r="115" customFormat="false" ht="35.05" hidden="false" customHeight="false" outlineLevel="0" collapsed="false">
      <c r="A115" s="11" t="s">
        <v>602</v>
      </c>
      <c r="B115" s="11" t="s">
        <v>17</v>
      </c>
      <c r="C115" s="11" t="s">
        <v>25</v>
      </c>
      <c r="D115" s="11" t="s">
        <v>21</v>
      </c>
      <c r="E115" s="11" t="s">
        <v>603</v>
      </c>
      <c r="F115" s="11" t="s">
        <v>604</v>
      </c>
      <c r="G115" s="11" t="s">
        <v>605</v>
      </c>
      <c r="H115" s="11" t="s">
        <v>5</v>
      </c>
      <c r="I115" s="11" t="s">
        <v>43</v>
      </c>
      <c r="J115" s="11" t="s">
        <v>606</v>
      </c>
    </row>
    <row r="116" customFormat="false" ht="46.25" hidden="false" customHeight="false" outlineLevel="0" collapsed="false">
      <c r="A116" s="11" t="s">
        <v>607</v>
      </c>
      <c r="B116" s="11" t="s">
        <v>17</v>
      </c>
      <c r="C116" s="11" t="s">
        <v>25</v>
      </c>
      <c r="D116" s="11" t="s">
        <v>20</v>
      </c>
      <c r="E116" s="11" t="s">
        <v>608</v>
      </c>
      <c r="F116" s="11" t="s">
        <v>609</v>
      </c>
      <c r="G116" s="11" t="s">
        <v>610</v>
      </c>
      <c r="H116" s="11" t="s">
        <v>5</v>
      </c>
      <c r="I116" s="11" t="s">
        <v>43</v>
      </c>
      <c r="J116" s="11" t="s">
        <v>611</v>
      </c>
    </row>
    <row r="117" customFormat="false" ht="35.05" hidden="false" customHeight="false" outlineLevel="0" collapsed="false">
      <c r="A117" s="11" t="s">
        <v>612</v>
      </c>
      <c r="B117" s="11" t="s">
        <v>17</v>
      </c>
      <c r="C117" s="11" t="s">
        <v>25</v>
      </c>
      <c r="D117" s="11" t="s">
        <v>20</v>
      </c>
      <c r="E117" s="11" t="s">
        <v>613</v>
      </c>
      <c r="F117" s="11" t="s">
        <v>614</v>
      </c>
      <c r="G117" s="11" t="s">
        <v>615</v>
      </c>
      <c r="H117" s="11" t="s">
        <v>5</v>
      </c>
      <c r="I117" s="11" t="s">
        <v>43</v>
      </c>
      <c r="J117" s="11" t="s">
        <v>616</v>
      </c>
    </row>
    <row r="118" customFormat="false" ht="35.05" hidden="false" customHeight="false" outlineLevel="0" collapsed="false">
      <c r="A118" s="11" t="s">
        <v>617</v>
      </c>
      <c r="B118" s="11" t="s">
        <v>17</v>
      </c>
      <c r="C118" s="11" t="s">
        <v>25</v>
      </c>
      <c r="D118" s="11" t="s">
        <v>21</v>
      </c>
      <c r="E118" s="11" t="s">
        <v>618</v>
      </c>
      <c r="F118" s="11" t="s">
        <v>619</v>
      </c>
      <c r="G118" s="11" t="s">
        <v>620</v>
      </c>
      <c r="H118" s="11" t="s">
        <v>5</v>
      </c>
      <c r="I118" s="11" t="s">
        <v>43</v>
      </c>
      <c r="J118" s="11" t="s">
        <v>621</v>
      </c>
    </row>
    <row r="119" customFormat="false" ht="23.85" hidden="false" customHeight="false" outlineLevel="0" collapsed="false">
      <c r="A119" s="11" t="s">
        <v>622</v>
      </c>
      <c r="B119" s="11" t="s">
        <v>17</v>
      </c>
      <c r="C119" s="11" t="s">
        <v>25</v>
      </c>
      <c r="D119" s="11" t="s">
        <v>21</v>
      </c>
      <c r="E119" s="11" t="s">
        <v>623</v>
      </c>
      <c r="F119" s="11" t="s">
        <v>624</v>
      </c>
      <c r="G119" s="11" t="s">
        <v>625</v>
      </c>
      <c r="H119" s="11" t="s">
        <v>5</v>
      </c>
      <c r="I119" s="11" t="s">
        <v>43</v>
      </c>
      <c r="J119" s="11" t="s">
        <v>626</v>
      </c>
    </row>
    <row r="120" customFormat="false" ht="35.05" hidden="false" customHeight="false" outlineLevel="0" collapsed="false">
      <c r="A120" s="11" t="s">
        <v>627</v>
      </c>
      <c r="B120" s="11" t="s">
        <v>17</v>
      </c>
      <c r="C120" s="11" t="s">
        <v>25</v>
      </c>
      <c r="D120" s="11" t="s">
        <v>21</v>
      </c>
      <c r="E120" s="11" t="s">
        <v>628</v>
      </c>
      <c r="F120" s="11" t="s">
        <v>629</v>
      </c>
      <c r="G120" s="11" t="s">
        <v>630</v>
      </c>
      <c r="H120" s="11" t="s">
        <v>5</v>
      </c>
      <c r="I120" s="11" t="s">
        <v>43</v>
      </c>
      <c r="J120" s="11" t="s">
        <v>631</v>
      </c>
    </row>
    <row r="121" customFormat="false" ht="57.45" hidden="false" customHeight="false" outlineLevel="0" collapsed="false">
      <c r="A121" s="11" t="s">
        <v>632</v>
      </c>
      <c r="B121" s="11" t="s">
        <v>17</v>
      </c>
      <c r="C121" s="11" t="s">
        <v>25</v>
      </c>
      <c r="D121" s="11" t="s">
        <v>20</v>
      </c>
      <c r="E121" s="11" t="s">
        <v>633</v>
      </c>
      <c r="F121" s="11" t="s">
        <v>634</v>
      </c>
      <c r="G121" s="11" t="s">
        <v>635</v>
      </c>
      <c r="H121" s="11" t="s">
        <v>5</v>
      </c>
      <c r="I121" s="11" t="s">
        <v>43</v>
      </c>
      <c r="J121" s="11" t="s">
        <v>636</v>
      </c>
    </row>
    <row r="122" customFormat="false" ht="57.45" hidden="false" customHeight="false" outlineLevel="0" collapsed="false">
      <c r="A122" s="11" t="s">
        <v>637</v>
      </c>
      <c r="B122" s="11" t="s">
        <v>17</v>
      </c>
      <c r="C122" s="11" t="s">
        <v>25</v>
      </c>
      <c r="D122" s="11" t="s">
        <v>20</v>
      </c>
      <c r="E122" s="11" t="s">
        <v>638</v>
      </c>
      <c r="F122" s="11" t="s">
        <v>639</v>
      </c>
      <c r="G122" s="11" t="s">
        <v>640</v>
      </c>
      <c r="H122" s="11" t="s">
        <v>5</v>
      </c>
      <c r="I122" s="11" t="s">
        <v>43</v>
      </c>
      <c r="J122" s="11" t="s">
        <v>641</v>
      </c>
    </row>
    <row r="123" customFormat="false" ht="35.05" hidden="false" customHeight="false" outlineLevel="0" collapsed="false">
      <c r="A123" s="11" t="s">
        <v>642</v>
      </c>
      <c r="B123" s="11" t="s">
        <v>17</v>
      </c>
      <c r="C123" s="11" t="s">
        <v>25</v>
      </c>
      <c r="D123" s="11" t="s">
        <v>21</v>
      </c>
      <c r="E123" s="11" t="s">
        <v>643</v>
      </c>
      <c r="F123" s="11" t="s">
        <v>644</v>
      </c>
      <c r="G123" s="11" t="s">
        <v>645</v>
      </c>
      <c r="H123" s="11" t="s">
        <v>5</v>
      </c>
      <c r="I123" s="11" t="s">
        <v>43</v>
      </c>
      <c r="J123" s="11" t="s">
        <v>646</v>
      </c>
    </row>
    <row r="124" customFormat="false" ht="57.45" hidden="false" customHeight="false" outlineLevel="0" collapsed="false">
      <c r="A124" s="11" t="s">
        <v>647</v>
      </c>
      <c r="B124" s="11" t="s">
        <v>17</v>
      </c>
      <c r="C124" s="11" t="s">
        <v>25</v>
      </c>
      <c r="D124" s="11" t="s">
        <v>20</v>
      </c>
      <c r="E124" s="11" t="s">
        <v>648</v>
      </c>
      <c r="F124" s="11" t="s">
        <v>649</v>
      </c>
      <c r="G124" s="11" t="s">
        <v>650</v>
      </c>
      <c r="H124" s="11" t="s">
        <v>5</v>
      </c>
      <c r="I124" s="11" t="s">
        <v>43</v>
      </c>
      <c r="J124" s="11" t="s">
        <v>651</v>
      </c>
    </row>
    <row r="125" customFormat="false" ht="46.25" hidden="false" customHeight="false" outlineLevel="0" collapsed="false">
      <c r="A125" s="11" t="s">
        <v>652</v>
      </c>
      <c r="B125" s="11" t="s">
        <v>17</v>
      </c>
      <c r="C125" s="11" t="s">
        <v>25</v>
      </c>
      <c r="D125" s="11" t="s">
        <v>21</v>
      </c>
      <c r="E125" s="11" t="s">
        <v>653</v>
      </c>
      <c r="F125" s="11" t="s">
        <v>654</v>
      </c>
      <c r="G125" s="11" t="s">
        <v>655</v>
      </c>
      <c r="H125" s="11" t="s">
        <v>5</v>
      </c>
      <c r="I125" s="11" t="s">
        <v>43</v>
      </c>
      <c r="J125" s="11" t="s">
        <v>656</v>
      </c>
    </row>
    <row r="126" customFormat="false" ht="46.25" hidden="false" customHeight="false" outlineLevel="0" collapsed="false">
      <c r="A126" s="11" t="s">
        <v>657</v>
      </c>
      <c r="B126" s="11" t="s">
        <v>17</v>
      </c>
      <c r="C126" s="11" t="s">
        <v>25</v>
      </c>
      <c r="D126" s="11" t="s">
        <v>21</v>
      </c>
      <c r="E126" s="11" t="s">
        <v>658</v>
      </c>
      <c r="F126" s="11" t="s">
        <v>659</v>
      </c>
      <c r="G126" s="11" t="s">
        <v>660</v>
      </c>
      <c r="H126" s="11" t="s">
        <v>5</v>
      </c>
      <c r="I126" s="11" t="s">
        <v>43</v>
      </c>
      <c r="J126" s="11" t="s">
        <v>661</v>
      </c>
    </row>
    <row r="127" customFormat="false" ht="46.25" hidden="false" customHeight="false" outlineLevel="0" collapsed="false">
      <c r="A127" s="11" t="s">
        <v>662</v>
      </c>
      <c r="B127" s="11" t="s">
        <v>17</v>
      </c>
      <c r="C127" s="11" t="s">
        <v>25</v>
      </c>
      <c r="D127" s="11" t="s">
        <v>21</v>
      </c>
      <c r="E127" s="11" t="s">
        <v>663</v>
      </c>
      <c r="F127" s="11" t="s">
        <v>664</v>
      </c>
      <c r="G127" s="11" t="s">
        <v>665</v>
      </c>
      <c r="H127" s="11" t="s">
        <v>5</v>
      </c>
      <c r="I127" s="11" t="s">
        <v>43</v>
      </c>
      <c r="J127" s="11" t="s">
        <v>666</v>
      </c>
    </row>
    <row r="128" customFormat="false" ht="46.25" hidden="false" customHeight="false" outlineLevel="0" collapsed="false">
      <c r="A128" s="11" t="s">
        <v>667</v>
      </c>
      <c r="B128" s="11" t="s">
        <v>17</v>
      </c>
      <c r="C128" s="11" t="s">
        <v>25</v>
      </c>
      <c r="D128" s="11" t="s">
        <v>20</v>
      </c>
      <c r="E128" s="11" t="s">
        <v>668</v>
      </c>
      <c r="F128" s="11" t="s">
        <v>669</v>
      </c>
      <c r="G128" s="11" t="s">
        <v>670</v>
      </c>
      <c r="H128" s="11" t="s">
        <v>5</v>
      </c>
      <c r="I128" s="11" t="s">
        <v>43</v>
      </c>
      <c r="J128" s="11" t="s">
        <v>671</v>
      </c>
    </row>
    <row r="129" customFormat="false" ht="35.05" hidden="false" customHeight="false" outlineLevel="0" collapsed="false">
      <c r="A129" s="11" t="s">
        <v>672</v>
      </c>
      <c r="B129" s="11" t="s">
        <v>17</v>
      </c>
      <c r="C129" s="11" t="s">
        <v>25</v>
      </c>
      <c r="D129" s="11" t="s">
        <v>21</v>
      </c>
      <c r="E129" s="11" t="s">
        <v>673</v>
      </c>
      <c r="F129" s="11" t="s">
        <v>674</v>
      </c>
      <c r="G129" s="11" t="s">
        <v>675</v>
      </c>
      <c r="H129" s="11" t="s">
        <v>5</v>
      </c>
      <c r="I129" s="11" t="s">
        <v>43</v>
      </c>
      <c r="J129" s="11" t="s">
        <v>676</v>
      </c>
    </row>
  </sheetData>
  <autoFilter ref="A1:J129"/>
  <conditionalFormatting sqref="H2:H129">
    <cfRule type="cellIs" priority="2" operator="equal" aboveAverage="0" equalAverage="0" bottom="0" percent="0" rank="0" text="" dxfId="4">
      <formula>"Pass"</formula>
    </cfRule>
    <cfRule type="cellIs" priority="3" operator="equal" aboveAverage="0" equalAverage="0" bottom="0" percent="0" rank="0" text="" dxfId="5">
      <formula>"Fail"</formula>
    </cfRule>
    <cfRule type="cellIs" priority="4" operator="equal" aboveAverage="0" equalAverage="0" bottom="0" percent="0" rank="0" text="" dxfId="6">
      <formula>"Skipped"</formula>
    </cfRule>
    <cfRule type="cellIs" priority="5" operator="equal" aboveAverage="0" equalAverage="0" bottom="0" percent="0" rank="0" text="" dxfId="6">
      <formula>"Blocked"</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14"/>
    <col collapsed="false" customWidth="true" hidden="false" outlineLevel="0" max="3" min="3" style="0" width="10"/>
    <col collapsed="false" customWidth="true" hidden="false" outlineLevel="0" max="4" min="4" style="0" width="13"/>
    <col collapsed="false" customWidth="true" hidden="false" outlineLevel="0" max="5" min="5" style="0" width="40"/>
    <col collapsed="false" customWidth="true" hidden="false" outlineLevel="0" max="6" min="6" style="0" width="70"/>
    <col collapsed="false" customWidth="true" hidden="false" outlineLevel="0" max="7" min="7" style="0" width="56"/>
    <col collapsed="false" customWidth="true" hidden="false" outlineLevel="0" max="8" min="8" style="0" width="22"/>
  </cols>
  <sheetData>
    <row r="1" customFormat="false" ht="15" hidden="false" customHeight="false" outlineLevel="0" collapsed="false">
      <c r="A1" s="10" t="s">
        <v>677</v>
      </c>
      <c r="B1" s="10" t="s">
        <v>678</v>
      </c>
      <c r="C1" s="10" t="s">
        <v>679</v>
      </c>
      <c r="D1" s="10" t="s">
        <v>23</v>
      </c>
      <c r="E1" s="10" t="s">
        <v>680</v>
      </c>
      <c r="F1" s="10" t="s">
        <v>681</v>
      </c>
      <c r="G1" s="10" t="s">
        <v>682</v>
      </c>
      <c r="H1" s="10" t="s">
        <v>36</v>
      </c>
    </row>
    <row r="2" customFormat="false" ht="23.85" hidden="false" customHeight="false" outlineLevel="0" collapsed="false">
      <c r="A2" s="11" t="s">
        <v>683</v>
      </c>
      <c r="B2" s="11" t="s">
        <v>90</v>
      </c>
      <c r="C2" s="11" t="s">
        <v>684</v>
      </c>
      <c r="D2" s="11" t="s">
        <v>15</v>
      </c>
      <c r="E2" s="11" t="s">
        <v>685</v>
      </c>
      <c r="F2" s="11" t="s">
        <v>686</v>
      </c>
      <c r="G2" s="11" t="s">
        <v>687</v>
      </c>
      <c r="H2" s="11" t="s">
        <v>688</v>
      </c>
    </row>
    <row r="3" customFormat="false" ht="35.05" hidden="false" customHeight="false" outlineLevel="0" collapsed="false">
      <c r="A3" s="11" t="s">
        <v>689</v>
      </c>
      <c r="B3" s="11" t="s">
        <v>387</v>
      </c>
      <c r="C3" s="11" t="s">
        <v>684</v>
      </c>
      <c r="D3" s="11" t="s">
        <v>15</v>
      </c>
      <c r="E3" s="11" t="s">
        <v>690</v>
      </c>
      <c r="F3" s="11" t="s">
        <v>691</v>
      </c>
      <c r="G3" s="11" t="s">
        <v>692</v>
      </c>
      <c r="H3" s="11" t="s">
        <v>688</v>
      </c>
    </row>
    <row r="4" customFormat="false" ht="23.85" hidden="false" customHeight="false" outlineLevel="0" collapsed="false">
      <c r="A4" s="11" t="s">
        <v>693</v>
      </c>
      <c r="B4" s="11" t="s">
        <v>95</v>
      </c>
      <c r="C4" s="11" t="s">
        <v>694</v>
      </c>
      <c r="D4" s="11" t="s">
        <v>695</v>
      </c>
      <c r="E4" s="11" t="s">
        <v>696</v>
      </c>
      <c r="F4" s="11" t="s">
        <v>697</v>
      </c>
      <c r="G4" s="11" t="s">
        <v>698</v>
      </c>
      <c r="H4" s="11" t="s">
        <v>688</v>
      </c>
    </row>
    <row r="5" customFormat="false" ht="15" hidden="false" customHeight="false" outlineLevel="0" collapsed="false">
      <c r="A5" s="11" t="s">
        <v>699</v>
      </c>
      <c r="B5" s="11" t="s">
        <v>75</v>
      </c>
      <c r="C5" s="11" t="s">
        <v>694</v>
      </c>
      <c r="D5" s="11" t="s">
        <v>695</v>
      </c>
      <c r="E5" s="11" t="s">
        <v>700</v>
      </c>
      <c r="F5" s="11" t="s">
        <v>701</v>
      </c>
      <c r="G5" s="11" t="s">
        <v>702</v>
      </c>
      <c r="H5" s="11" t="s">
        <v>688</v>
      </c>
    </row>
    <row r="6" customFormat="false" ht="23.85" hidden="false" customHeight="false" outlineLevel="0" collapsed="false">
      <c r="A6" s="11" t="s">
        <v>703</v>
      </c>
      <c r="B6" s="11" t="s">
        <v>352</v>
      </c>
      <c r="C6" s="11" t="s">
        <v>694</v>
      </c>
      <c r="D6" s="11" t="s">
        <v>704</v>
      </c>
      <c r="E6" s="11" t="s">
        <v>705</v>
      </c>
      <c r="F6" s="11" t="s">
        <v>706</v>
      </c>
      <c r="G6" s="11" t="s">
        <v>707</v>
      </c>
      <c r="H6" s="11" t="s">
        <v>688</v>
      </c>
    </row>
    <row r="7" customFormat="false" ht="23.85" hidden="false" customHeight="false" outlineLevel="0" collapsed="false">
      <c r="A7" s="11" t="s">
        <v>708</v>
      </c>
      <c r="B7" s="11" t="s">
        <v>477</v>
      </c>
      <c r="C7" s="11" t="s">
        <v>694</v>
      </c>
      <c r="D7" s="11" t="s">
        <v>709</v>
      </c>
      <c r="E7" s="11" t="s">
        <v>710</v>
      </c>
      <c r="F7" s="11" t="s">
        <v>711</v>
      </c>
      <c r="G7" s="11" t="s">
        <v>712</v>
      </c>
      <c r="H7" s="11" t="s">
        <v>688</v>
      </c>
    </row>
    <row r="8" customFormat="false" ht="23.85" hidden="false" customHeight="false" outlineLevel="0" collapsed="false">
      <c r="A8" s="11" t="s">
        <v>713</v>
      </c>
      <c r="B8" s="11" t="s">
        <v>517</v>
      </c>
      <c r="C8" s="11" t="s">
        <v>694</v>
      </c>
      <c r="D8" s="11" t="s">
        <v>714</v>
      </c>
      <c r="E8" s="11" t="s">
        <v>715</v>
      </c>
      <c r="F8" s="11" t="s">
        <v>716</v>
      </c>
      <c r="G8" s="11" t="s">
        <v>717</v>
      </c>
      <c r="H8" s="11" t="s">
        <v>688</v>
      </c>
    </row>
    <row r="9" customFormat="false" ht="23.85" hidden="false" customHeight="false" outlineLevel="0" collapsed="false">
      <c r="A9" s="11" t="s">
        <v>718</v>
      </c>
      <c r="B9" s="11" t="s">
        <v>557</v>
      </c>
      <c r="C9" s="11" t="s">
        <v>694</v>
      </c>
      <c r="D9" s="11" t="s">
        <v>719</v>
      </c>
      <c r="E9" s="11" t="s">
        <v>720</v>
      </c>
      <c r="F9" s="11" t="s">
        <v>721</v>
      </c>
      <c r="G9" s="11" t="s">
        <v>722</v>
      </c>
      <c r="H9" s="11" t="s">
        <v>688</v>
      </c>
    </row>
    <row r="10" customFormat="false" ht="23.85" hidden="false" customHeight="false" outlineLevel="0" collapsed="false">
      <c r="A10" s="11" t="s">
        <v>723</v>
      </c>
      <c r="B10" s="11" t="s">
        <v>362</v>
      </c>
      <c r="C10" s="11" t="s">
        <v>724</v>
      </c>
      <c r="D10" s="11" t="s">
        <v>704</v>
      </c>
      <c r="E10" s="11" t="s">
        <v>725</v>
      </c>
      <c r="F10" s="11" t="s">
        <v>726</v>
      </c>
      <c r="G10" s="11" t="s">
        <v>727</v>
      </c>
      <c r="H10" s="11" t="s">
        <v>688</v>
      </c>
    </row>
    <row r="11" customFormat="false" ht="23.85" hidden="false" customHeight="false" outlineLevel="0" collapsed="false">
      <c r="A11" s="11" t="s">
        <v>728</v>
      </c>
      <c r="B11" s="11" t="s">
        <v>259</v>
      </c>
      <c r="C11" s="11" t="s">
        <v>724</v>
      </c>
      <c r="D11" s="11" t="s">
        <v>714</v>
      </c>
      <c r="E11" s="11" t="s">
        <v>729</v>
      </c>
      <c r="F11" s="11" t="s">
        <v>730</v>
      </c>
      <c r="G11" s="11" t="s">
        <v>731</v>
      </c>
      <c r="H11" s="11" t="s">
        <v>688</v>
      </c>
    </row>
    <row r="12" customFormat="false" ht="23.85" hidden="false" customHeight="false" outlineLevel="0" collapsed="false">
      <c r="A12" s="11" t="s">
        <v>732</v>
      </c>
      <c r="B12" s="11" t="s">
        <v>547</v>
      </c>
      <c r="C12" s="11" t="s">
        <v>724</v>
      </c>
      <c r="D12" s="11" t="s">
        <v>709</v>
      </c>
      <c r="E12" s="11" t="s">
        <v>733</v>
      </c>
      <c r="F12" s="11" t="s">
        <v>734</v>
      </c>
      <c r="G12" s="11" t="s">
        <v>735</v>
      </c>
      <c r="H12" s="11" t="s">
        <v>688</v>
      </c>
    </row>
    <row r="13" customFormat="false" ht="35.05" hidden="false" customHeight="false" outlineLevel="0" collapsed="false">
      <c r="A13" s="11" t="s">
        <v>736</v>
      </c>
      <c r="B13" s="11" t="s">
        <v>209</v>
      </c>
      <c r="C13" s="11" t="s">
        <v>684</v>
      </c>
      <c r="D13" s="11" t="s">
        <v>714</v>
      </c>
      <c r="E13" s="11" t="s">
        <v>737</v>
      </c>
      <c r="F13" s="11" t="s">
        <v>738</v>
      </c>
      <c r="G13" s="11" t="s">
        <v>739</v>
      </c>
      <c r="H13" s="11" t="s">
        <v>688</v>
      </c>
    </row>
    <row r="14" customFormat="false" ht="23.85" hidden="false" customHeight="false" outlineLevel="0" collapsed="false">
      <c r="A14" s="11" t="s">
        <v>740</v>
      </c>
      <c r="B14" s="11" t="s">
        <v>402</v>
      </c>
      <c r="C14" s="11" t="s">
        <v>684</v>
      </c>
      <c r="D14" s="11" t="s">
        <v>741</v>
      </c>
      <c r="E14" s="11" t="s">
        <v>742</v>
      </c>
      <c r="F14" s="11" t="s">
        <v>743</v>
      </c>
      <c r="G14" s="11" t="s">
        <v>744</v>
      </c>
      <c r="H14" s="11" t="s">
        <v>688</v>
      </c>
    </row>
    <row r="15" customFormat="false" ht="15" hidden="false" customHeight="false" outlineLevel="0" collapsed="false">
      <c r="A15" s="11" t="s">
        <v>745</v>
      </c>
      <c r="B15" s="11" t="s">
        <v>214</v>
      </c>
      <c r="C15" s="11" t="s">
        <v>724</v>
      </c>
      <c r="D15" s="11" t="s">
        <v>695</v>
      </c>
      <c r="E15" s="11" t="s">
        <v>746</v>
      </c>
      <c r="F15" s="11" t="s">
        <v>747</v>
      </c>
      <c r="G15" s="11" t="s">
        <v>748</v>
      </c>
      <c r="H15" s="11" t="s">
        <v>688</v>
      </c>
    </row>
    <row r="16" customFormat="false" ht="15" hidden="false" customHeight="false" outlineLevel="0" collapsed="false">
      <c r="A16" s="11" t="s">
        <v>749</v>
      </c>
      <c r="B16" s="11" t="s">
        <v>100</v>
      </c>
      <c r="C16" s="11" t="s">
        <v>724</v>
      </c>
      <c r="D16" s="11" t="s">
        <v>695</v>
      </c>
      <c r="E16" s="11" t="s">
        <v>750</v>
      </c>
      <c r="F16" s="11" t="s">
        <v>751</v>
      </c>
      <c r="G16" s="11" t="s">
        <v>752</v>
      </c>
      <c r="H16" s="11" t="s">
        <v>688</v>
      </c>
    </row>
  </sheetData>
  <autoFilter ref="A1:H16"/>
  <conditionalFormatting sqref="C2:C16">
    <cfRule type="cellIs" priority="2" operator="equal" aboveAverage="0" equalAverage="0" bottom="0" percent="0" rank="0" text="" dxfId="5">
      <formula>"High"</formula>
    </cfRule>
    <cfRule type="cellIs" priority="3" operator="equal" aboveAverage="0" equalAverage="0" bottom="0" percent="0" rank="0" text="" dxfId="6">
      <formula>"Medium"</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2026-10-10T04:13:43Z</dcterms:created>
  <dc:creator>openpyxl</dc:creator>
  <dc:description/>
  <dc:language>en-US</dc:language>
  <cp:lastModifiedBy/>
  <dcterms:modified xsi:type="dcterms:W3CDTF">2026-10-10T04:13:43Z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